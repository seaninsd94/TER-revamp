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orker Summary" sheetId="1" state="visible" r:id="rId1"/>
    <sheet name="Quarterly Breakdown" sheetId="2" state="visible" r:id="rId2"/>
    <sheet name="Payment Detail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$#,##0.00"/>
    <numFmt numFmtId="166" formatCode="mm/dd/yyyy"/>
  </numFmts>
  <fonts count="7">
    <font>
      <name val="Calibri"/>
      <family val="2"/>
      <color theme="1"/>
      <sz val="11"/>
      <scheme val="minor"/>
    </font>
    <font>
      <name val="Arial"/>
      <b val="1"/>
      <color rgb="00FFFFFF"/>
      <sz val="14"/>
    </font>
    <font>
      <name val="Arial"/>
      <i val="1"/>
      <color rgb="00555555"/>
      <sz val="9"/>
    </font>
    <font>
      <name val="Arial"/>
      <b val="1"/>
      <color rgb="00FFFFFF"/>
      <sz val="10"/>
    </font>
    <font>
      <name val="Arial"/>
      <color rgb="00000000"/>
      <sz val="10"/>
    </font>
    <font>
      <name val="Arial"/>
      <b val="1"/>
      <color rgb="00000000"/>
      <sz val="10"/>
    </font>
    <font>
      <name val="Arial"/>
      <b val="1"/>
      <color rgb="001A4D3E"/>
      <sz val="10"/>
    </font>
  </fonts>
  <fills count="5">
    <fill>
      <patternFill/>
    </fill>
    <fill>
      <patternFill patternType="gray125"/>
    </fill>
    <fill>
      <patternFill patternType="solid">
        <fgColor rgb="001A4D3E"/>
      </patternFill>
    </fill>
    <fill>
      <patternFill patternType="solid">
        <fgColor rgb="002D6A4F"/>
      </patternFill>
    </fill>
    <fill>
      <patternFill patternType="solid">
        <fgColor rgb="00F2F2F2"/>
      </patternFill>
    </fill>
  </fills>
  <borders count="2">
    <border>
      <left/>
      <right/>
      <top/>
      <bottom/>
      <diagonal/>
    </border>
    <border>
      <left style="thin">
        <color rgb="00BBBBBB"/>
      </left>
      <right style="thin">
        <color rgb="00BBBBBB"/>
      </right>
      <top style="thin">
        <color rgb="00BBBBBB"/>
      </top>
      <bottom style="thin">
        <color rgb="00BBBBBB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0" applyAlignment="1" pivotButton="0" quotePrefix="0" xfId="0">
      <alignment horizontal="left" vertical="center" indent="1"/>
    </xf>
    <xf numFmtId="0" fontId="2" fillId="0" borderId="0" applyAlignment="1" pivotButton="0" quotePrefix="0" xfId="0">
      <alignment horizontal="left" vertical="center" wrapText="1" indent="1"/>
    </xf>
    <xf numFmtId="0" fontId="3" fillId="3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top" wrapText="1"/>
    </xf>
    <xf numFmtId="165" fontId="4" fillId="0" borderId="1" applyAlignment="1" pivotButton="0" quotePrefix="0" xfId="0">
      <alignment horizontal="center" vertical="center" wrapText="1"/>
    </xf>
    <xf numFmtId="166" fontId="4" fillId="0" borderId="1" applyAlignment="1" pivotButton="0" quotePrefix="0" xfId="0">
      <alignment horizontal="center" vertical="center" wrapText="1"/>
    </xf>
    <xf numFmtId="0" fontId="5" fillId="4" borderId="1" applyAlignment="1" pivotButton="0" quotePrefix="0" xfId="0">
      <alignment horizontal="center" vertical="center" wrapText="1"/>
    </xf>
    <xf numFmtId="0" fontId="0" fillId="4" borderId="1" applyAlignment="1" pivotButton="0" quotePrefix="0" xfId="0">
      <alignment horizontal="center" vertical="center" wrapText="1"/>
    </xf>
    <xf numFmtId="165" fontId="6" fillId="4" borderId="1" applyAlignment="1" pivotButton="0" quotePrefix="0" xfId="0">
      <alignment horizontal="center" vertical="center" wrapText="1"/>
    </xf>
    <xf numFmtId="0" fontId="2" fillId="4" borderId="0" applyAlignment="1" pivotButton="0" quotePrefix="0" xfId="0">
      <alignment horizontal="left" vertical="top" wrapText="1" indent="1"/>
    </xf>
    <xf numFmtId="0" fontId="0" fillId="4" borderId="1" pivotButton="0" quotePrefix="0" xfId="0"/>
    <xf numFmtId="0" fontId="5" fillId="4" borderId="1" applyAlignment="1" pivotButton="0" quotePrefix="0" xfId="0">
      <alignment horizontal="right"/>
    </xf>
    <xf numFmtId="165" fontId="6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2" customWidth="1" min="1" max="1"/>
    <col width="30" customWidth="1" min="2" max="2"/>
    <col width="15" customWidth="1" min="3" max="3"/>
    <col width="11" customWidth="1" min="4" max="4"/>
    <col width="13" customWidth="1" min="5" max="5"/>
    <col width="13" customWidth="1" min="6" max="6"/>
    <col width="40" customWidth="1" min="7" max="7"/>
    <col width="13" customWidth="1" min="8" max="8"/>
    <col width="16" customWidth="1" min="9" max="9"/>
    <col width="18" customWidth="1" min="10" max="10"/>
  </cols>
  <sheetData>
    <row r="1" ht="28" customHeight="1">
      <c r="A1" s="1" t="inlineStr">
        <is>
          <t>Tasteful Event Rentals — 2026 YTD Worker Payments (paid without withholding)</t>
        </is>
      </c>
    </row>
    <row r="2" ht="42" customHeight="1">
      <c r="A2" s="2" t="inlineStr">
        <is>
          <t>All wages below were paid in 2026 with NO tax withholding or deposits. Provided for the CPA to prepare/correct the 2026 payroll filings (late Q1 &amp; Q2 941 and DE 9) before moving to Patriot payroll going forward. Amounts are gross; taxes withheld = $0.</t>
        </is>
      </c>
    </row>
    <row r="3" ht="42" customHeight="1">
      <c r="A3" s="3" t="inlineStr">
        <is>
          <t>Worker</t>
        </is>
      </c>
      <c r="B3" s="3" t="inlineStr">
        <is>
          <t>Email / Phone</t>
        </is>
      </c>
      <c r="C3" s="3" t="inlineStr">
        <is>
          <t>2026 YTD Paid ($)</t>
        </is>
      </c>
      <c r="D3" s="3" t="inlineStr">
        <is>
          <t># Payments</t>
        </is>
      </c>
      <c r="E3" s="3" t="inlineStr">
        <is>
          <t>First Payment</t>
        </is>
      </c>
      <c r="F3" s="3" t="inlineStr">
        <is>
          <t>Last Payment</t>
        </is>
      </c>
      <c r="G3" s="3" t="inlineStr">
        <is>
          <t>Work Performed</t>
        </is>
      </c>
      <c r="H3" s="3" t="inlineStr">
        <is>
          <t>Directed by me?</t>
        </is>
      </c>
      <c r="I3" s="3" t="inlineStr">
        <is>
          <t>Classification</t>
        </is>
      </c>
      <c r="J3" s="3" t="inlineStr">
        <is>
          <t>Treatment</t>
        </is>
      </c>
    </row>
    <row r="4" ht="46" customHeight="1">
      <c r="A4" s="4" t="inlineStr">
        <is>
          <t>Jeremiah Thomas</t>
        </is>
      </c>
      <c r="B4" s="5" t="inlineStr">
        <is>
          <t>jltthegamer90@gmail.com / 619-994-4408</t>
        </is>
      </c>
      <c r="C4" s="6">
        <f>SUMIF('Payment Detail'!$B:$B,$A4,'Payment Detail'!$C:$C)</f>
        <v/>
      </c>
      <c r="D4" s="4">
        <f>COUNTIF('Payment Detail'!$B:$B,$A4)</f>
        <v/>
      </c>
      <c r="E4" s="7" t="n">
        <v>46035</v>
      </c>
      <c r="F4" s="7" t="n">
        <v>46227</v>
      </c>
      <c r="G4" s="5" t="inlineStr">
        <is>
          <t>Delivery, setup/teardown at events I booked and directed; plus equipment maintenance.</t>
        </is>
      </c>
      <c r="H4" s="4" t="inlineStr">
        <is>
          <t>Yes</t>
        </is>
      </c>
      <c r="I4" s="4" t="inlineStr">
        <is>
          <t>Employee</t>
        </is>
      </c>
      <c r="J4" s="4" t="inlineStr">
        <is>
          <t>W-2</t>
        </is>
      </c>
    </row>
    <row r="5" ht="46" customHeight="1">
      <c r="A5" s="4" t="inlineStr">
        <is>
          <t>Tiffany Acevedo</t>
        </is>
      </c>
      <c r="B5" s="5" t="inlineStr">
        <is>
          <t>tiffacevedo44@gmail.com / 619-606-6421</t>
        </is>
      </c>
      <c r="C5" s="6">
        <f>SUMIF('Payment Detail'!$B:$B,$A5,'Payment Detail'!$C:$C)</f>
        <v/>
      </c>
      <c r="D5" s="4">
        <f>COUNTIF('Payment Detail'!$B:$B,$A5)</f>
        <v/>
      </c>
      <c r="E5" s="7" t="n">
        <v>46024</v>
      </c>
      <c r="F5" s="7" t="n">
        <v>46207</v>
      </c>
      <c r="G5" s="5" t="inlineStr">
        <is>
          <t>Delivery, setup/teardown at events I booked and directed.</t>
        </is>
      </c>
      <c r="H5" s="4" t="inlineStr">
        <is>
          <t>Yes</t>
        </is>
      </c>
      <c r="I5" s="4" t="inlineStr">
        <is>
          <t>Employee</t>
        </is>
      </c>
      <c r="J5" s="4" t="inlineStr">
        <is>
          <t>W-2</t>
        </is>
      </c>
    </row>
    <row r="6" ht="46" customHeight="1">
      <c r="A6" s="4" t="inlineStr">
        <is>
          <t>Isaiah Melody Ansley</t>
        </is>
      </c>
      <c r="B6" s="5" t="inlineStr">
        <is>
          <t>imelodyansley@gmail.com / 619-857-5650</t>
        </is>
      </c>
      <c r="C6" s="6">
        <f>SUMIF('Payment Detail'!$B:$B,$A6,'Payment Detail'!$C:$C)</f>
        <v/>
      </c>
      <c r="D6" s="4">
        <f>COUNTIF('Payment Detail'!$B:$B,$A6)</f>
        <v/>
      </c>
      <c r="E6" s="7" t="n">
        <v>46035</v>
      </c>
      <c r="F6" s="7" t="n">
        <v>46227</v>
      </c>
      <c r="G6" s="5" t="inlineStr">
        <is>
          <t>Delivery, setup/teardown at events I booked and directed; plus equipment maintenance.</t>
        </is>
      </c>
      <c r="H6" s="4" t="inlineStr">
        <is>
          <t>Yes</t>
        </is>
      </c>
      <c r="I6" s="4" t="inlineStr">
        <is>
          <t>Employee</t>
        </is>
      </c>
      <c r="J6" s="4" t="inlineStr">
        <is>
          <t>W-2</t>
        </is>
      </c>
    </row>
    <row r="7" ht="46" customHeight="1">
      <c r="A7" s="4" t="inlineStr">
        <is>
          <t>Travis Yeager</t>
        </is>
      </c>
      <c r="B7" s="5" t="inlineStr">
        <is>
          <t>(need to collect)</t>
        </is>
      </c>
      <c r="C7" s="6">
        <f>SUMIF('Payment Detail'!$B:$B,$A7,'Payment Detail'!$C:$C)</f>
        <v/>
      </c>
      <c r="D7" s="4">
        <f>COUNTIF('Payment Detail'!$B:$B,$A7)</f>
        <v/>
      </c>
      <c r="E7" s="7" t="n">
        <v>46192</v>
      </c>
      <c r="F7" s="7" t="n">
        <v>46192</v>
      </c>
      <c r="G7" s="5" t="inlineStr">
        <is>
          <t>Setup/teardown — single one-time job. See note below.</t>
        </is>
      </c>
      <c r="H7" s="4" t="inlineStr">
        <is>
          <t>One-time*</t>
        </is>
      </c>
      <c r="I7" s="4" t="inlineStr">
        <is>
          <t>One-time — CPA to confirm</t>
        </is>
      </c>
      <c r="J7" s="4" t="inlineStr">
        <is>
          <t>TBD (W-2 vs 1099)</t>
        </is>
      </c>
    </row>
    <row r="8">
      <c r="A8" s="8" t="inlineStr">
        <is>
          <t>TOTAL</t>
        </is>
      </c>
      <c r="B8" s="9" t="n"/>
      <c r="C8" s="10">
        <f>SUM(C4:C7)</f>
        <v/>
      </c>
      <c r="D8" s="8">
        <f>SUM(D4:D7)</f>
        <v/>
      </c>
      <c r="E8" s="9" t="n"/>
      <c r="F8" s="9" t="n"/>
      <c r="G8" s="9" t="n"/>
      <c r="H8" s="9" t="n"/>
      <c r="I8" s="9" t="n"/>
      <c r="J8" s="9" t="n"/>
    </row>
    <row r="10" ht="48" customHeight="1">
      <c r="A10" s="11" t="inlineStr">
        <is>
          <t>* Travis Yeager: one payment of $35 for a single setup/teardown job, no ongoing relationship. Under $600. Note for CPA: this is core event work (same as the employees), so a contractor position is weaker than a maintenance-only one-off — please confirm W-2 vs 1099 treatment.</t>
        </is>
      </c>
    </row>
  </sheetData>
  <mergeCells count="3">
    <mergeCell ref="A1:J1"/>
    <mergeCell ref="A10:J10"/>
    <mergeCell ref="A2:J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7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16" customWidth="1" min="2" max="2"/>
    <col width="16" customWidth="1" min="3" max="3"/>
    <col width="20" customWidth="1" min="4" max="4"/>
    <col width="16" customWidth="1" min="5" max="5"/>
  </cols>
  <sheetData>
    <row r="1" ht="26" customHeight="1">
      <c r="A1" s="1" t="inlineStr">
        <is>
          <t>2026 Wages by Quarter (for late 941 / DE 9 filings)</t>
        </is>
      </c>
    </row>
    <row r="2" ht="32" customHeight="1">
      <c r="A2" s="3" t="inlineStr">
        <is>
          <t>Worker</t>
        </is>
      </c>
      <c r="B2" s="3" t="inlineStr">
        <is>
          <t>Q1 (Jan–Mar)</t>
        </is>
      </c>
      <c r="C2" s="3" t="inlineStr">
        <is>
          <t>Q2 (Apr–Jun)</t>
        </is>
      </c>
      <c r="D2" s="3" t="inlineStr">
        <is>
          <t>Q3 to date (Jul 1–24)</t>
        </is>
      </c>
      <c r="E2" s="3" t="inlineStr">
        <is>
          <t>2026 YTD Total</t>
        </is>
      </c>
    </row>
    <row r="3">
      <c r="A3" s="5" t="inlineStr">
        <is>
          <t>Jeremiah Thomas</t>
        </is>
      </c>
      <c r="B3" s="6">
        <f>SUMIFS('Payment Detail'!$C:$C,'Payment Detail'!$B:$B,$A3,'Payment Detail'!$A:$A,"&gt;="&amp;DATE(2026,1,1),'Payment Detail'!$A:$A,"&lt;="&amp;DATE(2026,3,31))</f>
        <v/>
      </c>
      <c r="C3" s="6">
        <f>SUMIFS('Payment Detail'!$C:$C,'Payment Detail'!$B:$B,$A3,'Payment Detail'!$A:$A,"&gt;="&amp;DATE(2026,4,1),'Payment Detail'!$A:$A,"&lt;="&amp;DATE(2026,6,30))</f>
        <v/>
      </c>
      <c r="D3" s="6">
        <f>SUMIFS('Payment Detail'!$C:$C,'Payment Detail'!$B:$B,$A3,'Payment Detail'!$A:$A,"&gt;="&amp;DATE(2026,7,1),'Payment Detail'!$A:$A,"&lt;="&amp;DATE(2026,7,24))</f>
        <v/>
      </c>
      <c r="E3" s="6">
        <f>SUM(B3:D3)</f>
        <v/>
      </c>
    </row>
    <row r="4">
      <c r="A4" s="5" t="inlineStr">
        <is>
          <t>Tiffany Acevedo</t>
        </is>
      </c>
      <c r="B4" s="6">
        <f>SUMIFS('Payment Detail'!$C:$C,'Payment Detail'!$B:$B,$A4,'Payment Detail'!$A:$A,"&gt;="&amp;DATE(2026,1,1),'Payment Detail'!$A:$A,"&lt;="&amp;DATE(2026,3,31))</f>
        <v/>
      </c>
      <c r="C4" s="6">
        <f>SUMIFS('Payment Detail'!$C:$C,'Payment Detail'!$B:$B,$A4,'Payment Detail'!$A:$A,"&gt;="&amp;DATE(2026,4,1),'Payment Detail'!$A:$A,"&lt;="&amp;DATE(2026,6,30))</f>
        <v/>
      </c>
      <c r="D4" s="6">
        <f>SUMIFS('Payment Detail'!$C:$C,'Payment Detail'!$B:$B,$A4,'Payment Detail'!$A:$A,"&gt;="&amp;DATE(2026,7,1),'Payment Detail'!$A:$A,"&lt;="&amp;DATE(2026,7,24))</f>
        <v/>
      </c>
      <c r="E4" s="6">
        <f>SUM(B4:D4)</f>
        <v/>
      </c>
    </row>
    <row r="5">
      <c r="A5" s="5" t="inlineStr">
        <is>
          <t>Isaiah Melody Ansley</t>
        </is>
      </c>
      <c r="B5" s="6">
        <f>SUMIFS('Payment Detail'!$C:$C,'Payment Detail'!$B:$B,$A5,'Payment Detail'!$A:$A,"&gt;="&amp;DATE(2026,1,1),'Payment Detail'!$A:$A,"&lt;="&amp;DATE(2026,3,31))</f>
        <v/>
      </c>
      <c r="C5" s="6">
        <f>SUMIFS('Payment Detail'!$C:$C,'Payment Detail'!$B:$B,$A5,'Payment Detail'!$A:$A,"&gt;="&amp;DATE(2026,4,1),'Payment Detail'!$A:$A,"&lt;="&amp;DATE(2026,6,30))</f>
        <v/>
      </c>
      <c r="D5" s="6">
        <f>SUMIFS('Payment Detail'!$C:$C,'Payment Detail'!$B:$B,$A5,'Payment Detail'!$A:$A,"&gt;="&amp;DATE(2026,7,1),'Payment Detail'!$A:$A,"&lt;="&amp;DATE(2026,7,24))</f>
        <v/>
      </c>
      <c r="E5" s="6">
        <f>SUM(B5:D5)</f>
        <v/>
      </c>
    </row>
    <row r="6">
      <c r="A6" s="5" t="inlineStr">
        <is>
          <t>Travis Yeager</t>
        </is>
      </c>
      <c r="B6" s="6">
        <f>SUMIFS('Payment Detail'!$C:$C,'Payment Detail'!$B:$B,$A6,'Payment Detail'!$A:$A,"&gt;="&amp;DATE(2026,1,1),'Payment Detail'!$A:$A,"&lt;="&amp;DATE(2026,3,31))</f>
        <v/>
      </c>
      <c r="C6" s="6">
        <f>SUMIFS('Payment Detail'!$C:$C,'Payment Detail'!$B:$B,$A6,'Payment Detail'!$A:$A,"&gt;="&amp;DATE(2026,4,1),'Payment Detail'!$A:$A,"&lt;="&amp;DATE(2026,6,30))</f>
        <v/>
      </c>
      <c r="D6" s="6">
        <f>SUMIFS('Payment Detail'!$C:$C,'Payment Detail'!$B:$B,$A6,'Payment Detail'!$A:$A,"&gt;="&amp;DATE(2026,7,1),'Payment Detail'!$A:$A,"&lt;="&amp;DATE(2026,7,24))</f>
        <v/>
      </c>
      <c r="E6" s="6">
        <f>SUM(B6:D6)</f>
        <v/>
      </c>
    </row>
    <row r="7">
      <c r="A7" s="8" t="inlineStr">
        <is>
          <t>TOTAL</t>
        </is>
      </c>
      <c r="B7" s="10">
        <f>SUM(B3:B6)</f>
        <v/>
      </c>
      <c r="C7" s="10">
        <f>SUM(C3:C6)</f>
        <v/>
      </c>
      <c r="D7" s="10">
        <f>SUM(D3:D6)</f>
        <v/>
      </c>
      <c r="E7" s="10">
        <f>SUM(E3:E6)</f>
        <v/>
      </c>
    </row>
  </sheetData>
  <mergeCells count="1">
    <mergeCell ref="A1:E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7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3" customWidth="1" min="1" max="1"/>
    <col width="22" customWidth="1" min="2" max="2"/>
    <col width="13" customWidth="1" min="3" max="3"/>
    <col width="16" customWidth="1" min="4" max="4"/>
    <col width="34" customWidth="1" min="5" max="5"/>
  </cols>
  <sheetData>
    <row r="1" ht="26" customHeight="1">
      <c r="A1" s="1" t="inlineStr">
        <is>
          <t>Payment Detail — all 2026 payments YTD (24 total)</t>
        </is>
      </c>
    </row>
    <row r="2" ht="22" customHeight="1">
      <c r="A2" s="3" t="inlineStr">
        <is>
          <t>Date</t>
        </is>
      </c>
      <c r="B2" s="3" t="inlineStr">
        <is>
          <t>Worker</t>
        </is>
      </c>
      <c r="C2" s="3" t="inlineStr">
        <is>
          <t>Amount ($)</t>
        </is>
      </c>
      <c r="D2" s="3" t="inlineStr">
        <is>
          <t>Payment Method</t>
        </is>
      </c>
      <c r="E2" s="3" t="inlineStr">
        <is>
          <t>What it was for</t>
        </is>
      </c>
    </row>
    <row r="3">
      <c r="A3" s="7" t="n">
        <v>46024</v>
      </c>
      <c r="B3" s="4" t="inlineStr">
        <is>
          <t>Tiffany Acevedo</t>
        </is>
      </c>
      <c r="C3" s="6" t="n">
        <v>495</v>
      </c>
      <c r="D3" s="4" t="inlineStr">
        <is>
          <t>Check #128</t>
        </is>
      </c>
      <c r="E3" s="5" t="inlineStr">
        <is>
          <t>Setup + breakdown</t>
        </is>
      </c>
    </row>
    <row r="4">
      <c r="A4" s="7" t="n">
        <v>46035</v>
      </c>
      <c r="B4" s="4" t="inlineStr">
        <is>
          <t>Isaiah Melody Ansley</t>
        </is>
      </c>
      <c r="C4" s="6" t="n">
        <v>82</v>
      </c>
      <c r="D4" s="4" t="inlineStr">
        <is>
          <t>Check #130</t>
        </is>
      </c>
      <c r="E4" s="5" t="inlineStr">
        <is>
          <t>Equipment maintenance</t>
        </is>
      </c>
    </row>
    <row r="5">
      <c r="A5" s="7" t="n">
        <v>46035</v>
      </c>
      <c r="B5" s="4" t="inlineStr">
        <is>
          <t>Jeremiah Thomas</t>
        </is>
      </c>
      <c r="C5" s="6" t="n">
        <v>100</v>
      </c>
      <c r="D5" s="4" t="inlineStr">
        <is>
          <t>Check #129</t>
        </is>
      </c>
      <c r="E5" s="5" t="inlineStr">
        <is>
          <t>Equipment maintenance</t>
        </is>
      </c>
    </row>
    <row r="6">
      <c r="A6" s="7" t="n">
        <v>46043</v>
      </c>
      <c r="B6" s="4" t="inlineStr">
        <is>
          <t>Isaiah Melody Ansley</t>
        </is>
      </c>
      <c r="C6" s="6" t="n">
        <v>52.5</v>
      </c>
      <c r="D6" s="4" t="inlineStr">
        <is>
          <t>Check #132</t>
        </is>
      </c>
      <c r="E6" s="5" t="inlineStr">
        <is>
          <t>Equipment maintenance</t>
        </is>
      </c>
    </row>
    <row r="7">
      <c r="A7" s="7" t="n">
        <v>46043</v>
      </c>
      <c r="B7" s="4" t="inlineStr">
        <is>
          <t>Jeremiah Thomas</t>
        </is>
      </c>
      <c r="C7" s="6" t="n">
        <v>144.5</v>
      </c>
      <c r="D7" s="4" t="inlineStr">
        <is>
          <t>Check #131</t>
        </is>
      </c>
      <c r="E7" s="5" t="inlineStr">
        <is>
          <t>Setup + breakdown</t>
        </is>
      </c>
    </row>
    <row r="8">
      <c r="A8" s="7" t="n">
        <v>46061</v>
      </c>
      <c r="B8" s="4" t="inlineStr">
        <is>
          <t>Jeremiah Thomas</t>
        </is>
      </c>
      <c r="C8" s="6" t="n">
        <v>87.5</v>
      </c>
      <c r="D8" s="4" t="inlineStr">
        <is>
          <t>Check #133</t>
        </is>
      </c>
      <c r="E8" s="5" t="inlineStr">
        <is>
          <t>Equipment maintenance</t>
        </is>
      </c>
    </row>
    <row r="9">
      <c r="A9" s="7" t="n">
        <v>46091</v>
      </c>
      <c r="B9" s="4" t="inlineStr">
        <is>
          <t>Tiffany Acevedo</t>
        </is>
      </c>
      <c r="C9" s="6" t="n">
        <v>140</v>
      </c>
      <c r="D9" s="4" t="inlineStr">
        <is>
          <t>Check #134</t>
        </is>
      </c>
      <c r="E9" s="5" t="inlineStr">
        <is>
          <t>Setup + breakdown</t>
        </is>
      </c>
    </row>
    <row r="10">
      <c r="A10" s="7" t="n">
        <v>46093</v>
      </c>
      <c r="B10" s="4" t="inlineStr">
        <is>
          <t>Jeremiah Thomas</t>
        </is>
      </c>
      <c r="C10" s="6" t="n">
        <v>187.5</v>
      </c>
      <c r="D10" s="4" t="inlineStr">
        <is>
          <t>Check #135</t>
        </is>
      </c>
      <c r="E10" s="5" t="inlineStr">
        <is>
          <t>Equipment maintenance</t>
        </is>
      </c>
    </row>
    <row r="11">
      <c r="A11" s="7" t="n">
        <v>46105</v>
      </c>
      <c r="B11" s="4" t="inlineStr">
        <is>
          <t>Isaiah Melody Ansley</t>
        </is>
      </c>
      <c r="C11" s="6" t="n">
        <v>210</v>
      </c>
      <c r="D11" s="4" t="inlineStr">
        <is>
          <t>Check #137</t>
        </is>
      </c>
      <c r="E11" s="5" t="inlineStr">
        <is>
          <t>Setup + breakdown</t>
        </is>
      </c>
    </row>
    <row r="12">
      <c r="A12" s="7" t="n">
        <v>46107</v>
      </c>
      <c r="B12" s="4" t="inlineStr">
        <is>
          <t>Isaiah Melody Ansley</t>
        </is>
      </c>
      <c r="C12" s="6" t="n">
        <v>105</v>
      </c>
      <c r="D12" s="4" t="inlineStr">
        <is>
          <t>Check #140</t>
        </is>
      </c>
      <c r="E12" s="5" t="inlineStr">
        <is>
          <t>Equipment maintenance</t>
        </is>
      </c>
    </row>
    <row r="13">
      <c r="A13" s="7" t="n">
        <v>46107</v>
      </c>
      <c r="B13" s="4" t="inlineStr">
        <is>
          <t>Jeremiah Thomas</t>
        </is>
      </c>
      <c r="C13" s="6" t="n">
        <v>437.5</v>
      </c>
      <c r="D13" s="4" t="inlineStr">
        <is>
          <t>Check #139</t>
        </is>
      </c>
      <c r="E13" s="5" t="inlineStr">
        <is>
          <t>Equipment maintenance</t>
        </is>
      </c>
    </row>
    <row r="14">
      <c r="A14" s="7" t="n">
        <v>46112</v>
      </c>
      <c r="B14" s="4" t="inlineStr">
        <is>
          <t>Tiffany Acevedo</t>
        </is>
      </c>
      <c r="C14" s="6" t="n">
        <v>350</v>
      </c>
      <c r="D14" s="4" t="inlineStr">
        <is>
          <t>Check #161</t>
        </is>
      </c>
      <c r="E14" s="5" t="inlineStr">
        <is>
          <t>Setup + breakdown</t>
        </is>
      </c>
    </row>
    <row r="15">
      <c r="A15" s="7" t="n">
        <v>46121</v>
      </c>
      <c r="B15" s="4" t="inlineStr">
        <is>
          <t>Isaiah Melody Ansley</t>
        </is>
      </c>
      <c r="C15" s="6" t="n">
        <v>35</v>
      </c>
      <c r="D15" s="4" t="inlineStr">
        <is>
          <t>Check #163</t>
        </is>
      </c>
      <c r="E15" s="5" t="inlineStr">
        <is>
          <t>Equipment maintenance</t>
        </is>
      </c>
    </row>
    <row r="16">
      <c r="A16" s="7" t="n">
        <v>46121</v>
      </c>
      <c r="B16" s="4" t="inlineStr">
        <is>
          <t>Jeremiah Thomas</t>
        </is>
      </c>
      <c r="C16" s="6" t="n">
        <v>70</v>
      </c>
      <c r="D16" s="4" t="inlineStr">
        <is>
          <t>Check #162</t>
        </is>
      </c>
      <c r="E16" s="5" t="inlineStr">
        <is>
          <t>Setup + breakdown</t>
        </is>
      </c>
    </row>
    <row r="17">
      <c r="A17" s="7" t="n">
        <v>46135</v>
      </c>
      <c r="B17" s="4" t="inlineStr">
        <is>
          <t>Jeremiah Thomas</t>
        </is>
      </c>
      <c r="C17" s="6" t="n">
        <v>122.5</v>
      </c>
      <c r="D17" s="4" t="inlineStr">
        <is>
          <t>Check #164</t>
        </is>
      </c>
      <c r="E17" s="5" t="inlineStr">
        <is>
          <t>Equipment maintenance</t>
        </is>
      </c>
    </row>
    <row r="18">
      <c r="A18" s="7" t="n">
        <v>46162</v>
      </c>
      <c r="B18" s="4" t="inlineStr">
        <is>
          <t>Tiffany Acevedo</t>
        </is>
      </c>
      <c r="C18" s="6" t="n">
        <v>262.5</v>
      </c>
      <c r="D18" s="4" t="inlineStr">
        <is>
          <t>Check #165</t>
        </is>
      </c>
      <c r="E18" s="5" t="inlineStr">
        <is>
          <t>Setup + breakdown</t>
        </is>
      </c>
    </row>
    <row r="19">
      <c r="A19" s="7" t="n">
        <v>46168</v>
      </c>
      <c r="B19" s="4" t="inlineStr">
        <is>
          <t>Isaiah Melody Ansley</t>
        </is>
      </c>
      <c r="C19" s="6" t="n">
        <v>150</v>
      </c>
      <c r="D19" s="4" t="inlineStr">
        <is>
          <t>Check #167</t>
        </is>
      </c>
      <c r="E19" s="5" t="inlineStr">
        <is>
          <t>Equipment maintenance</t>
        </is>
      </c>
    </row>
    <row r="20">
      <c r="A20" s="7" t="n">
        <v>46168</v>
      </c>
      <c r="B20" s="4" t="inlineStr">
        <is>
          <t>Jeremiah Thomas</t>
        </is>
      </c>
      <c r="C20" s="6" t="n">
        <v>166.25</v>
      </c>
      <c r="D20" s="4" t="inlineStr">
        <is>
          <t>Check #166</t>
        </is>
      </c>
      <c r="E20" s="5" t="inlineStr">
        <is>
          <t>Equipment maintenance</t>
        </is>
      </c>
    </row>
    <row r="21">
      <c r="A21" s="7" t="n">
        <v>46192</v>
      </c>
      <c r="B21" s="4" t="inlineStr">
        <is>
          <t>Travis Yeager</t>
        </is>
      </c>
      <c r="C21" s="6" t="n">
        <v>35</v>
      </c>
      <c r="D21" s="4" t="inlineStr">
        <is>
          <t>Check #169</t>
        </is>
      </c>
      <c r="E21" s="5" t="inlineStr">
        <is>
          <t>Setup + breakdown</t>
        </is>
      </c>
    </row>
    <row r="22">
      <c r="A22" s="7" t="n">
        <v>46204</v>
      </c>
      <c r="B22" s="4" t="inlineStr">
        <is>
          <t>Isaiah Melody Ansley</t>
        </is>
      </c>
      <c r="C22" s="6" t="n">
        <v>35</v>
      </c>
      <c r="D22" s="4" t="inlineStr">
        <is>
          <t>Check #171</t>
        </is>
      </c>
      <c r="E22" s="5" t="inlineStr">
        <is>
          <t>Equipment maintenance</t>
        </is>
      </c>
    </row>
    <row r="23">
      <c r="A23" s="7" t="n">
        <v>46204</v>
      </c>
      <c r="B23" s="4" t="inlineStr">
        <is>
          <t>Jeremiah Thomas</t>
        </is>
      </c>
      <c r="C23" s="6" t="n">
        <v>201.25</v>
      </c>
      <c r="D23" s="4" t="inlineStr">
        <is>
          <t>Check #170</t>
        </is>
      </c>
      <c r="E23" s="5" t="inlineStr">
        <is>
          <t>Equipment maintenance</t>
        </is>
      </c>
    </row>
    <row r="24">
      <c r="A24" s="7" t="n">
        <v>46207</v>
      </c>
      <c r="B24" s="4" t="inlineStr">
        <is>
          <t>Tiffany Acevedo</t>
        </is>
      </c>
      <c r="C24" s="6" t="n">
        <v>280</v>
      </c>
      <c r="D24" s="4" t="inlineStr">
        <is>
          <t>Check #172</t>
        </is>
      </c>
      <c r="E24" s="5" t="inlineStr">
        <is>
          <t>Setup + breakdown</t>
        </is>
      </c>
    </row>
    <row r="25">
      <c r="A25" s="7" t="n">
        <v>46227</v>
      </c>
      <c r="B25" s="4" t="inlineStr">
        <is>
          <t>Isaiah Melody Ansley</t>
        </is>
      </c>
      <c r="C25" s="6" t="n">
        <v>700</v>
      </c>
      <c r="D25" s="4" t="inlineStr">
        <is>
          <t>Check #174</t>
        </is>
      </c>
      <c r="E25" s="5" t="inlineStr">
        <is>
          <t>Setup + breakdown</t>
        </is>
      </c>
    </row>
    <row r="26">
      <c r="A26" s="7" t="n">
        <v>46227</v>
      </c>
      <c r="B26" s="4" t="inlineStr">
        <is>
          <t>Jeremiah Thomas</t>
        </is>
      </c>
      <c r="C26" s="6" t="n">
        <v>717.5</v>
      </c>
      <c r="D26" s="4" t="inlineStr">
        <is>
          <t>Check #173</t>
        </is>
      </c>
      <c r="E26" s="5" t="inlineStr">
        <is>
          <t>Setup + breakdown</t>
        </is>
      </c>
    </row>
    <row r="27">
      <c r="A27" s="12" t="n"/>
      <c r="B27" s="13" t="inlineStr">
        <is>
          <t>TOTAL</t>
        </is>
      </c>
      <c r="C27" s="14">
        <f>SUM(C3:C26)</f>
        <v/>
      </c>
      <c r="D27" s="12" t="n"/>
      <c r="E27" s="12" t="n"/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2026-08-19T05:54:57Z</dcterms:created>
  <dcterms:modified xsi:type="dcterms:W3CDTF">2026-08-19T05:54:57Z</dcterms:modified>
</cp:coreProperties>
</file>