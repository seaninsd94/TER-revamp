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ayment Log" sheetId="2" state="visible" r:id="rId2"/>
    <sheet name="Worker 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1A4D3E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b val="1"/>
      <color rgb="001A4D3E"/>
      <sz val="10"/>
    </font>
  </fonts>
  <fills count="8">
    <fill>
      <patternFill/>
    </fill>
    <fill>
      <patternFill patternType="gray125"/>
    </fill>
    <fill>
      <patternFill patternType="solid">
        <fgColor rgb="001A4D3E"/>
      </patternFill>
    </fill>
    <fill>
      <patternFill patternType="solid">
        <fgColor rgb="00FFF3B0"/>
      </patternFill>
    </fill>
    <fill>
      <patternFill patternType="solid">
        <fgColor rgb="00EDE7F0"/>
      </patternFill>
    </fill>
    <fill>
      <patternFill patternType="solid">
        <fgColor rgb="00F2F2F2"/>
      </patternFill>
    </fill>
    <fill>
      <patternFill patternType="solid">
        <fgColor rgb="002D6A4F"/>
      </patternFill>
    </fill>
    <fill>
      <patternFill patternType="solid">
        <fgColor rgb="004A125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5" fontId="2" fillId="4" borderId="1" applyAlignment="1" pivotButton="0" quotePrefix="0" xfId="0">
      <alignment vertical="top"/>
    </xf>
    <xf numFmtId="0" fontId="2" fillId="4" borderId="1" applyAlignment="1" pivotButton="0" quotePrefix="0" xfId="0">
      <alignment horizontal="left" vertical="top" wrapText="1"/>
    </xf>
    <xf numFmtId="164" fontId="4" fillId="3" borderId="1" pivotButton="0" quotePrefix="0" xfId="0"/>
    <xf numFmtId="0" fontId="4" fillId="3" borderId="1" pivotButton="0" quotePrefix="0" xfId="0"/>
    <xf numFmtId="165" fontId="4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/>
    </xf>
    <xf numFmtId="165" fontId="8" fillId="5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Worksheet</author>
  </authors>
  <commentList>
    <comment ref="J3" authorId="0" shapeId="0">
      <text>
        <t>Is the worker free from your direction/control over HOW the work is done?</t>
      </text>
    </comment>
    <comment ref="K3" authorId="0" shapeId="0">
      <text>
        <t>Is the work OUTSIDE your usual business? For an event-rental company, event setup/teardown is usually INSIDE the business = No.</t>
      </text>
    </comment>
    <comment ref="L3" authorId="0" shapeId="0">
      <text>
        <t>Does the worker run their own established business (license, clients, tools, insurance, advertises)?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1" ht="34" customHeight="1">
      <c r="A1" s="1" t="n"/>
      <c r="B1" s="2" t="inlineStr">
        <is>
          <t>Worker Classification &amp; ABC-Test Worksheet</t>
        </is>
      </c>
    </row>
    <row r="2" ht="20" customHeight="1">
      <c r="B2" s="3" t="inlineStr">
        <is>
          <t>Prepared for Tasteful Studio — to document worker classification for 2025 taxes.</t>
        </is>
      </c>
    </row>
    <row r="4" ht="22" customHeight="1">
      <c r="B4" s="4" t="inlineStr">
        <is>
          <t>WHY THIS WORKSHEET EXISTS</t>
        </is>
      </c>
    </row>
    <row r="5" ht="76" customHeight="1">
      <c r="B5" s="5" t="inlineStr">
        <is>
          <t>You paid several people to help with events and treated them as 1099 contractors. In California, whether someone is truly an independent contractor (1099) or an employee (W-2) is decided by the "ABC test" (Labor Code §2775 / AB 5) — not by whether they have a license. This workbook walks each person through that test so your classification is documented and defensible, and so your CPA has everything they need in one place.</t>
        </is>
      </c>
    </row>
    <row r="7" ht="22" customHeight="1">
      <c r="B7" s="4" t="inlineStr">
        <is>
          <t>HOW TO USE IT (3 STEPS)</t>
        </is>
      </c>
    </row>
    <row r="8" ht="46" customHeight="1">
      <c r="B8" s="5" t="inlineStr">
        <is>
          <t>STEP 1 — Payment Log tab: Enter every payment you made to a helper in 2025 (one row per payment). The Worker Classification tab totals these automatically by name, so spell each name exactly the same way.</t>
        </is>
      </c>
    </row>
    <row r="9" ht="46" customHeight="1">
      <c r="B9" s="5" t="inlineStr">
        <is>
          <t>STEP 2 — Worker Classification tab: List each person once. Answer the three ABC questions (A, B, C) using the drop-downs. The sheet flags a likely classification and the likely tax form automatically.</t>
        </is>
      </c>
    </row>
    <row r="10" ht="46" customHeight="1">
      <c r="B10" s="5" t="inlineStr">
        <is>
          <t>STEP 3 — Take the completed workbook to your CPA (and, if any come back "Review with CPA," an employment attorney). The flags are a guide to organize the conversation, not a final legal determination.</t>
        </is>
      </c>
    </row>
    <row r="12" ht="22" customHeight="1">
      <c r="B12" s="4" t="inlineStr">
        <is>
          <t>THE ABC TEST — ALL THREE MUST BE "YES" TO BE A CONTRACTOR</t>
        </is>
      </c>
    </row>
    <row r="13" ht="32" customHeight="1">
      <c r="B13" s="5" t="inlineStr">
        <is>
          <t>A — Control: Is the worker free from your direction and control over HOW the work is done? (You set the event; they decide how to do their piece.)</t>
        </is>
      </c>
    </row>
    <row r="14" ht="46" customHeight="1">
      <c r="B14" s="5" t="inlineStr">
        <is>
          <t>B — Outside your business: Is the work OUTSIDE the usual course of your business? For an event-rental company, setup/teardown/staffing an event is usually INSIDE your business — which typically makes it "No" and points to employee.</t>
        </is>
      </c>
    </row>
    <row r="15" ht="46" customHeight="1">
      <c r="B15" s="5" t="inlineStr">
        <is>
          <t>C — Independent business: Does the worker run their own established business doing this kind of work (own business license, own clients, own tools/insurance, advertises services)? "They don't have a license/their own business" = "No" here.</t>
        </is>
      </c>
    </row>
    <row r="16" ht="34" customHeight="1">
      <c r="B16" s="6" t="inlineStr">
        <is>
          <t>If ANY of A / B / C is "No" → the worker is most likely an EMPLOYEE (W-2, payroll). Only if all three are clearly "Yes" can they be a 1099 contractor.</t>
        </is>
      </c>
    </row>
    <row r="18" ht="22" customHeight="1">
      <c r="B18" s="4" t="inlineStr">
        <is>
          <t>COLOR LEGEND</t>
        </is>
      </c>
    </row>
    <row r="19" ht="18" customHeight="1">
      <c r="B19" s="7" t="inlineStr">
        <is>
          <t xml:space="preserve">   Yellow cells = you fill these in (drop-downs where provided)</t>
        </is>
      </c>
    </row>
    <row r="20" ht="18" customHeight="1">
      <c r="B20" s="8" t="inlineStr">
        <is>
          <t xml:space="preserve">   Light purple row = EXAMPLE only; delete or overwrite it</t>
        </is>
      </c>
    </row>
    <row r="21" ht="18" customHeight="1">
      <c r="B21" s="9" t="inlineStr">
        <is>
          <t xml:space="preserve">   Grey cells = calculated automatically; do not type over them</t>
        </is>
      </c>
    </row>
    <row r="23" ht="52" customHeight="1">
      <c r="B23" s="10" t="inlineStr">
        <is>
          <t>DISCLAIMER: This worksheet is an organizational tool, not tax or legal advice. Worker classification in California has real financial and legal consequences (payroll taxes, workers' comp, EDD/IRS penalties). Confirm every classification with a licensed CPA and, where appropriate, an employment attorney before filing.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8" customWidth="1" min="4" max="4"/>
    <col width="34" customWidth="1" min="5" max="5"/>
    <col width="30" customWidth="1" min="6" max="6"/>
  </cols>
  <sheetData>
    <row r="1" ht="30" customHeight="1">
      <c r="A1" s="2" t="inlineStr">
        <is>
          <t>Payment Log — every payment to a helper in 2025 (one row per payment)</t>
        </is>
      </c>
    </row>
    <row r="2" ht="18" customHeight="1">
      <c r="A2" s="11" t="inlineStr">
        <is>
          <t>Spell each Worker Name exactly the same way every time — the Classification tab totals by name.</t>
        </is>
      </c>
    </row>
    <row r="3" ht="24" customHeight="1">
      <c r="A3" s="12" t="inlineStr">
        <is>
          <t>Date</t>
        </is>
      </c>
      <c r="B3" s="12" t="inlineStr">
        <is>
          <t>Worker Name</t>
        </is>
      </c>
      <c r="C3" s="12" t="inlineStr">
        <is>
          <t>Amount ($)</t>
        </is>
      </c>
      <c r="D3" s="12" t="inlineStr">
        <is>
          <t>Payment Method</t>
        </is>
      </c>
      <c r="E3" s="12" t="inlineStr">
        <is>
          <t>What it was for</t>
        </is>
      </c>
      <c r="F3" s="12" t="inlineStr">
        <is>
          <t>Notes</t>
        </is>
      </c>
    </row>
    <row r="4">
      <c r="A4" s="13" t="n">
        <v>45822</v>
      </c>
      <c r="B4" s="14" t="inlineStr">
        <is>
          <t>Maria Lopez</t>
        </is>
      </c>
      <c r="C4" s="15" t="n">
        <v>450</v>
      </c>
      <c r="D4" s="14" t="inlineStr">
        <is>
          <t>Venmo</t>
        </is>
      </c>
      <c r="E4" s="16" t="inlineStr">
        <is>
          <t>Helped set up tents &amp; tables at Balboa Park event</t>
        </is>
      </c>
      <c r="F4" s="16" t="inlineStr">
        <is>
          <t>EXAMPLE — overwrite</t>
        </is>
      </c>
    </row>
    <row r="5">
      <c r="A5" s="13" t="n">
        <v>45857</v>
      </c>
      <c r="B5" s="14" t="inlineStr">
        <is>
          <t>Maria Lopez</t>
        </is>
      </c>
      <c r="C5" s="15" t="n">
        <v>300</v>
      </c>
      <c r="D5" s="14" t="inlineStr">
        <is>
          <t>Cash</t>
        </is>
      </c>
      <c r="E5" s="16" t="inlineStr">
        <is>
          <t>Teardown after wedding in La Jolla</t>
        </is>
      </c>
      <c r="F5" s="16" t="inlineStr">
        <is>
          <t>EXAMPLE — overwrite</t>
        </is>
      </c>
    </row>
    <row r="6">
      <c r="A6" s="13" t="n">
        <v>45871</v>
      </c>
      <c r="B6" s="14" t="inlineStr">
        <is>
          <t>James Carter</t>
        </is>
      </c>
      <c r="C6" s="15" t="n">
        <v>700</v>
      </c>
      <c r="D6" s="14" t="inlineStr">
        <is>
          <t>Check #1042</t>
        </is>
      </c>
      <c r="E6" s="16" t="inlineStr">
        <is>
          <t>Lighting setup, corporate event</t>
        </is>
      </c>
      <c r="F6" s="16" t="inlineStr">
        <is>
          <t>EXAMPLE — overwrite</t>
        </is>
      </c>
    </row>
    <row r="7">
      <c r="A7" s="17" t="n"/>
      <c r="B7" s="18" t="n"/>
      <c r="C7" s="19" t="n"/>
      <c r="D7" s="18" t="n"/>
      <c r="E7" s="20" t="n"/>
      <c r="F7" s="20" t="n"/>
    </row>
    <row r="8">
      <c r="A8" s="17" t="n"/>
      <c r="B8" s="18" t="n"/>
      <c r="C8" s="19" t="n"/>
      <c r="D8" s="18" t="n"/>
      <c r="E8" s="20" t="n"/>
      <c r="F8" s="20" t="n"/>
    </row>
    <row r="9">
      <c r="A9" s="17" t="n"/>
      <c r="B9" s="18" t="n"/>
      <c r="C9" s="19" t="n"/>
      <c r="D9" s="18" t="n"/>
      <c r="E9" s="20" t="n"/>
      <c r="F9" s="20" t="n"/>
    </row>
    <row r="10">
      <c r="A10" s="17" t="n"/>
      <c r="B10" s="18" t="n"/>
      <c r="C10" s="19" t="n"/>
      <c r="D10" s="18" t="n"/>
      <c r="E10" s="20" t="n"/>
      <c r="F10" s="20" t="n"/>
    </row>
    <row r="11">
      <c r="A11" s="17" t="n"/>
      <c r="B11" s="18" t="n"/>
      <c r="C11" s="19" t="n"/>
      <c r="D11" s="18" t="n"/>
      <c r="E11" s="20" t="n"/>
      <c r="F11" s="20" t="n"/>
    </row>
    <row r="12">
      <c r="A12" s="17" t="n"/>
      <c r="B12" s="18" t="n"/>
      <c r="C12" s="19" t="n"/>
      <c r="D12" s="18" t="n"/>
      <c r="E12" s="20" t="n"/>
      <c r="F12" s="20" t="n"/>
    </row>
    <row r="13">
      <c r="A13" s="17" t="n"/>
      <c r="B13" s="18" t="n"/>
      <c r="C13" s="19" t="n"/>
      <c r="D13" s="18" t="n"/>
      <c r="E13" s="20" t="n"/>
      <c r="F13" s="20" t="n"/>
    </row>
    <row r="14">
      <c r="A14" s="17" t="n"/>
      <c r="B14" s="18" t="n"/>
      <c r="C14" s="19" t="n"/>
      <c r="D14" s="18" t="n"/>
      <c r="E14" s="20" t="n"/>
      <c r="F14" s="20" t="n"/>
    </row>
    <row r="15">
      <c r="A15" s="17" t="n"/>
      <c r="B15" s="18" t="n"/>
      <c r="C15" s="19" t="n"/>
      <c r="D15" s="18" t="n"/>
      <c r="E15" s="20" t="n"/>
      <c r="F15" s="20" t="n"/>
    </row>
    <row r="16">
      <c r="A16" s="17" t="n"/>
      <c r="B16" s="18" t="n"/>
      <c r="C16" s="19" t="n"/>
      <c r="D16" s="18" t="n"/>
      <c r="E16" s="20" t="n"/>
      <c r="F16" s="20" t="n"/>
    </row>
    <row r="17">
      <c r="A17" s="17" t="n"/>
      <c r="B17" s="18" t="n"/>
      <c r="C17" s="19" t="n"/>
      <c r="D17" s="18" t="n"/>
      <c r="E17" s="20" t="n"/>
      <c r="F17" s="20" t="n"/>
    </row>
    <row r="18">
      <c r="A18" s="17" t="n"/>
      <c r="B18" s="18" t="n"/>
      <c r="C18" s="19" t="n"/>
      <c r="D18" s="18" t="n"/>
      <c r="E18" s="20" t="n"/>
      <c r="F18" s="20" t="n"/>
    </row>
    <row r="19">
      <c r="A19" s="17" t="n"/>
      <c r="B19" s="18" t="n"/>
      <c r="C19" s="19" t="n"/>
      <c r="D19" s="18" t="n"/>
      <c r="E19" s="20" t="n"/>
      <c r="F19" s="20" t="n"/>
    </row>
    <row r="20">
      <c r="A20" s="17" t="n"/>
      <c r="B20" s="18" t="n"/>
      <c r="C20" s="19" t="n"/>
      <c r="D20" s="18" t="n"/>
      <c r="E20" s="20" t="n"/>
      <c r="F20" s="20" t="n"/>
    </row>
    <row r="21">
      <c r="A21" s="17" t="n"/>
      <c r="B21" s="18" t="n"/>
      <c r="C21" s="19" t="n"/>
      <c r="D21" s="18" t="n"/>
      <c r="E21" s="20" t="n"/>
      <c r="F21" s="20" t="n"/>
    </row>
    <row r="22">
      <c r="A22" s="17" t="n"/>
      <c r="B22" s="18" t="n"/>
      <c r="C22" s="19" t="n"/>
      <c r="D22" s="18" t="n"/>
      <c r="E22" s="20" t="n"/>
      <c r="F22" s="20" t="n"/>
    </row>
    <row r="23">
      <c r="A23" s="17" t="n"/>
      <c r="B23" s="18" t="n"/>
      <c r="C23" s="19" t="n"/>
      <c r="D23" s="18" t="n"/>
      <c r="E23" s="20" t="n"/>
      <c r="F23" s="20" t="n"/>
    </row>
    <row r="24">
      <c r="A24" s="17" t="n"/>
      <c r="B24" s="18" t="n"/>
      <c r="C24" s="19" t="n"/>
      <c r="D24" s="18" t="n"/>
      <c r="E24" s="20" t="n"/>
      <c r="F24" s="20" t="n"/>
    </row>
    <row r="25">
      <c r="A25" s="17" t="n"/>
      <c r="B25" s="18" t="n"/>
      <c r="C25" s="19" t="n"/>
      <c r="D25" s="18" t="n"/>
      <c r="E25" s="20" t="n"/>
      <c r="F25" s="20" t="n"/>
    </row>
    <row r="26">
      <c r="A26" s="17" t="n"/>
      <c r="B26" s="18" t="n"/>
      <c r="C26" s="19" t="n"/>
      <c r="D26" s="18" t="n"/>
      <c r="E26" s="20" t="n"/>
      <c r="F26" s="20" t="n"/>
    </row>
    <row r="27">
      <c r="A27" s="17" t="n"/>
      <c r="B27" s="18" t="n"/>
      <c r="C27" s="19" t="n"/>
      <c r="D27" s="18" t="n"/>
      <c r="E27" s="20" t="n"/>
      <c r="F27" s="20" t="n"/>
    </row>
    <row r="28">
      <c r="A28" s="17" t="n"/>
      <c r="B28" s="18" t="n"/>
      <c r="C28" s="19" t="n"/>
      <c r="D28" s="18" t="n"/>
      <c r="E28" s="20" t="n"/>
      <c r="F28" s="20" t="n"/>
    </row>
    <row r="29">
      <c r="A29" s="17" t="n"/>
      <c r="B29" s="18" t="n"/>
      <c r="C29" s="19" t="n"/>
      <c r="D29" s="18" t="n"/>
      <c r="E29" s="20" t="n"/>
      <c r="F29" s="20" t="n"/>
    </row>
    <row r="30">
      <c r="A30" s="17" t="n"/>
      <c r="B30" s="18" t="n"/>
      <c r="C30" s="19" t="n"/>
      <c r="D30" s="18" t="n"/>
      <c r="E30" s="20" t="n"/>
      <c r="F30" s="20" t="n"/>
    </row>
    <row r="31">
      <c r="A31" s="17" t="n"/>
      <c r="B31" s="18" t="n"/>
      <c r="C31" s="19" t="n"/>
      <c r="D31" s="18" t="n"/>
      <c r="E31" s="20" t="n"/>
      <c r="F31" s="20" t="n"/>
    </row>
    <row r="32">
      <c r="A32" s="17" t="n"/>
      <c r="B32" s="18" t="n"/>
      <c r="C32" s="19" t="n"/>
      <c r="D32" s="18" t="n"/>
      <c r="E32" s="20" t="n"/>
      <c r="F32" s="20" t="n"/>
    </row>
    <row r="33">
      <c r="A33" s="17" t="n"/>
      <c r="B33" s="18" t="n"/>
      <c r="C33" s="19" t="n"/>
      <c r="D33" s="18" t="n"/>
      <c r="E33" s="20" t="n"/>
      <c r="F33" s="20" t="n"/>
    </row>
    <row r="34">
      <c r="A34" s="17" t="n"/>
      <c r="B34" s="18" t="n"/>
      <c r="C34" s="19" t="n"/>
      <c r="D34" s="18" t="n"/>
      <c r="E34" s="20" t="n"/>
      <c r="F34" s="20" t="n"/>
    </row>
    <row r="35">
      <c r="A35" s="17" t="n"/>
      <c r="B35" s="18" t="n"/>
      <c r="C35" s="19" t="n"/>
      <c r="D35" s="18" t="n"/>
      <c r="E35" s="20" t="n"/>
      <c r="F35" s="20" t="n"/>
    </row>
    <row r="36">
      <c r="A36" s="17" t="n"/>
      <c r="B36" s="18" t="n"/>
      <c r="C36" s="19" t="n"/>
      <c r="D36" s="18" t="n"/>
      <c r="E36" s="20" t="n"/>
      <c r="F36" s="20" t="n"/>
    </row>
    <row r="37">
      <c r="A37" s="17" t="n"/>
      <c r="B37" s="18" t="n"/>
      <c r="C37" s="19" t="n"/>
      <c r="D37" s="18" t="n"/>
      <c r="E37" s="20" t="n"/>
      <c r="F37" s="20" t="n"/>
    </row>
    <row r="38">
      <c r="A38" s="17" t="n"/>
      <c r="B38" s="18" t="n"/>
      <c r="C38" s="19" t="n"/>
      <c r="D38" s="18" t="n"/>
      <c r="E38" s="20" t="n"/>
      <c r="F38" s="20" t="n"/>
    </row>
    <row r="39">
      <c r="A39" s="17" t="n"/>
      <c r="B39" s="18" t="n"/>
      <c r="C39" s="19" t="n"/>
      <c r="D39" s="18" t="n"/>
      <c r="E39" s="20" t="n"/>
      <c r="F39" s="20" t="n"/>
    </row>
    <row r="40">
      <c r="A40" s="17" t="n"/>
      <c r="B40" s="18" t="n"/>
      <c r="C40" s="19" t="n"/>
      <c r="D40" s="18" t="n"/>
      <c r="E40" s="20" t="n"/>
      <c r="F40" s="20" t="n"/>
    </row>
    <row r="41">
      <c r="A41" s="17" t="n"/>
      <c r="B41" s="18" t="n"/>
      <c r="C41" s="19" t="n"/>
      <c r="D41" s="18" t="n"/>
      <c r="E41" s="20" t="n"/>
      <c r="F41" s="20" t="n"/>
    </row>
    <row r="42">
      <c r="A42" s="17" t="n"/>
      <c r="B42" s="18" t="n"/>
      <c r="C42" s="19" t="n"/>
      <c r="D42" s="18" t="n"/>
      <c r="E42" s="20" t="n"/>
      <c r="F42" s="20" t="n"/>
    </row>
    <row r="43">
      <c r="A43" s="17" t="n"/>
      <c r="B43" s="18" t="n"/>
      <c r="C43" s="19" t="n"/>
      <c r="D43" s="18" t="n"/>
      <c r="E43" s="20" t="n"/>
      <c r="F43" s="20" t="n"/>
    </row>
    <row r="44">
      <c r="A44" s="17" t="n"/>
      <c r="B44" s="18" t="n"/>
      <c r="C44" s="19" t="n"/>
      <c r="D44" s="18" t="n"/>
      <c r="E44" s="20" t="n"/>
      <c r="F44" s="20" t="n"/>
    </row>
    <row r="45">
      <c r="A45" s="17" t="n"/>
      <c r="B45" s="18" t="n"/>
      <c r="C45" s="19" t="n"/>
      <c r="D45" s="18" t="n"/>
      <c r="E45" s="20" t="n"/>
      <c r="F45" s="20" t="n"/>
    </row>
    <row r="46">
      <c r="A46" s="17" t="n"/>
      <c r="B46" s="18" t="n"/>
      <c r="C46" s="19" t="n"/>
      <c r="D46" s="18" t="n"/>
      <c r="E46" s="20" t="n"/>
      <c r="F46" s="20" t="n"/>
    </row>
    <row r="47">
      <c r="A47" s="17" t="n"/>
      <c r="B47" s="18" t="n"/>
      <c r="C47" s="19" t="n"/>
      <c r="D47" s="18" t="n"/>
      <c r="E47" s="20" t="n"/>
      <c r="F47" s="20" t="n"/>
    </row>
    <row r="48">
      <c r="A48" s="17" t="n"/>
      <c r="B48" s="18" t="n"/>
      <c r="C48" s="19" t="n"/>
      <c r="D48" s="18" t="n"/>
      <c r="E48" s="20" t="n"/>
      <c r="F48" s="20" t="n"/>
    </row>
    <row r="49">
      <c r="A49" s="17" t="n"/>
      <c r="B49" s="18" t="n"/>
      <c r="C49" s="19" t="n"/>
      <c r="D49" s="18" t="n"/>
      <c r="E49" s="20" t="n"/>
      <c r="F49" s="20" t="n"/>
    </row>
    <row r="50">
      <c r="A50" s="17" t="n"/>
      <c r="B50" s="18" t="n"/>
      <c r="C50" s="19" t="n"/>
      <c r="D50" s="18" t="n"/>
      <c r="E50" s="20" t="n"/>
      <c r="F50" s="20" t="n"/>
    </row>
    <row r="51">
      <c r="A51" s="17" t="n"/>
      <c r="B51" s="18" t="n"/>
      <c r="C51" s="19" t="n"/>
      <c r="D51" s="18" t="n"/>
      <c r="E51" s="20" t="n"/>
      <c r="F51" s="20" t="n"/>
    </row>
    <row r="52">
      <c r="A52" s="17" t="n"/>
      <c r="B52" s="18" t="n"/>
      <c r="C52" s="19" t="n"/>
      <c r="D52" s="18" t="n"/>
      <c r="E52" s="20" t="n"/>
      <c r="F52" s="20" t="n"/>
    </row>
    <row r="53">
      <c r="A53" s="17" t="n"/>
      <c r="B53" s="18" t="n"/>
      <c r="C53" s="19" t="n"/>
      <c r="D53" s="18" t="n"/>
      <c r="E53" s="20" t="n"/>
      <c r="F53" s="20" t="n"/>
    </row>
    <row r="54">
      <c r="A54" s="17" t="n"/>
      <c r="B54" s="18" t="n"/>
      <c r="C54" s="19" t="n"/>
      <c r="D54" s="18" t="n"/>
      <c r="E54" s="20" t="n"/>
      <c r="F54" s="20" t="n"/>
    </row>
    <row r="55">
      <c r="A55" s="17" t="n"/>
      <c r="B55" s="18" t="n"/>
      <c r="C55" s="19" t="n"/>
      <c r="D55" s="18" t="n"/>
      <c r="E55" s="20" t="n"/>
      <c r="F55" s="20" t="n"/>
    </row>
    <row r="56">
      <c r="A56" s="17" t="n"/>
      <c r="B56" s="18" t="n"/>
      <c r="C56" s="19" t="n"/>
      <c r="D56" s="18" t="n"/>
      <c r="E56" s="20" t="n"/>
      <c r="F56" s="20" t="n"/>
    </row>
    <row r="57">
      <c r="A57" s="17" t="n"/>
      <c r="B57" s="18" t="n"/>
      <c r="C57" s="19" t="n"/>
      <c r="D57" s="18" t="n"/>
      <c r="E57" s="20" t="n"/>
      <c r="F57" s="20" t="n"/>
    </row>
    <row r="58">
      <c r="A58" s="17" t="n"/>
      <c r="B58" s="18" t="n"/>
      <c r="C58" s="19" t="n"/>
      <c r="D58" s="18" t="n"/>
      <c r="E58" s="20" t="n"/>
      <c r="F58" s="20" t="n"/>
    </row>
    <row r="59">
      <c r="A59" s="17" t="n"/>
      <c r="B59" s="18" t="n"/>
      <c r="C59" s="19" t="n"/>
      <c r="D59" s="18" t="n"/>
      <c r="E59" s="20" t="n"/>
      <c r="F59" s="20" t="n"/>
    </row>
    <row r="60">
      <c r="A60" s="17" t="n"/>
      <c r="B60" s="18" t="n"/>
      <c r="C60" s="19" t="n"/>
      <c r="D60" s="18" t="n"/>
      <c r="E60" s="20" t="n"/>
      <c r="F60" s="20" t="n"/>
    </row>
    <row r="62">
      <c r="B62" s="21" t="inlineStr">
        <is>
          <t>TOTAL LOGGED (incl. examples):</t>
        </is>
      </c>
      <c r="C62" s="22">
        <f>SUM(C4:C60)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5" customWidth="1" min="3" max="3"/>
    <col width="14" customWidth="1" min="4" max="4"/>
    <col width="15" customWidth="1" min="5" max="5"/>
    <col width="13" customWidth="1" min="6" max="6"/>
    <col width="13" customWidth="1" min="7" max="7"/>
    <col width="14" customWidth="1" min="8" max="8"/>
    <col width="32" customWidth="1" min="9" max="9"/>
    <col width="16" customWidth="1" min="10" max="10"/>
    <col width="16" customWidth="1" min="11" max="11"/>
    <col width="16" customWidth="1" min="12" max="12"/>
    <col width="14" customWidth="1" min="13" max="13"/>
    <col width="16" customWidth="1" min="14" max="14"/>
    <col width="26" customWidth="1" min="15" max="15"/>
    <col width="20" customWidth="1" min="16" max="16"/>
    <col width="34" customWidth="1" min="17" max="17"/>
  </cols>
  <sheetData>
    <row r="1" ht="30" customHeight="1">
      <c r="A1" s="2" t="inlineStr">
        <is>
          <t>Worker Classification — ABC test, one row per person</t>
        </is>
      </c>
    </row>
    <row r="2" ht="18" customHeight="1">
      <c r="A2" s="11" t="inlineStr">
        <is>
          <t>Fill the YELLOW cells. Grey cells calculate themselves. To be a 1099 contractor, columns A, B and C must ALL be "Yes" — any "No" points to employee (W-2).</t>
        </is>
      </c>
    </row>
    <row r="3" ht="42" customHeight="1">
      <c r="A3" s="12" t="inlineStr">
        <is>
          <t>Worker Name</t>
        </is>
      </c>
      <c r="B3" s="12" t="inlineStr">
        <is>
          <t>Contact (phone / email)</t>
        </is>
      </c>
      <c r="C3" s="12" t="inlineStr">
        <is>
          <t>W-9 or W-4 collected?</t>
        </is>
      </c>
      <c r="D3" s="12" t="inlineStr">
        <is>
          <t>SSN / EIN on file?</t>
        </is>
      </c>
      <c r="E3" s="12" t="inlineStr">
        <is>
          <t>Total Paid 2025 ($)</t>
        </is>
      </c>
      <c r="F3" s="12" t="inlineStr">
        <is>
          <t>First Payment</t>
        </is>
      </c>
      <c r="G3" s="12" t="inlineStr">
        <is>
          <t>Last Payment</t>
        </is>
      </c>
      <c r="H3" s="12" t="inlineStr">
        <is>
          <t>$600+ threshold?</t>
        </is>
      </c>
      <c r="I3" s="12" t="inlineStr">
        <is>
          <t>Description of work performed</t>
        </is>
      </c>
      <c r="J3" s="23" t="inlineStr">
        <is>
          <t>A — Free from your control?</t>
        </is>
      </c>
      <c r="K3" s="23" t="inlineStr">
        <is>
          <t>B — Work outside your business?</t>
        </is>
      </c>
      <c r="L3" s="23" t="inlineStr">
        <is>
          <t>C — Own established business?</t>
        </is>
      </c>
      <c r="M3" s="23" t="inlineStr">
        <is>
          <t>Own business license?</t>
        </is>
      </c>
      <c r="N3" s="23" t="inlineStr">
        <is>
          <t>Own insurance / workers' comp?</t>
        </is>
      </c>
      <c r="O3" s="24" t="inlineStr">
        <is>
          <t>LIKELY CLASSIFICATION</t>
        </is>
      </c>
      <c r="P3" s="24" t="inlineStr">
        <is>
          <t>LIKELY FORM</t>
        </is>
      </c>
      <c r="Q3" s="12" t="inlineStr">
        <is>
          <t>Notes / follow-up for CPA</t>
        </is>
      </c>
    </row>
    <row r="4" ht="30" customHeight="1">
      <c r="A4" s="25" t="inlineStr">
        <is>
          <t>Maria Lopez</t>
        </is>
      </c>
      <c r="B4" s="16" t="inlineStr">
        <is>
          <t>maria@email.com / 619-555-0100</t>
        </is>
      </c>
      <c r="C4" s="25" t="inlineStr">
        <is>
          <t>No</t>
        </is>
      </c>
      <c r="D4" s="25" t="inlineStr">
        <is>
          <t>No</t>
        </is>
      </c>
      <c r="E4" s="26">
        <f>IF($A4="","",SUMIF('Payment Log'!$B:$B,$A4,'Payment Log'!$C:$C))</f>
        <v/>
      </c>
      <c r="F4" s="27">
        <f>IF(COUNTIF('Payment Log'!$B:$B,$A4)=0,"",_xlfn.MINIFS('Payment Log'!$A:$A,'Payment Log'!$B:$B,$A4))</f>
        <v/>
      </c>
      <c r="G4" s="27">
        <f>IF(COUNTIF('Payment Log'!$B:$B,$A4)=0,"",_xlfn.MAXIFS('Payment Log'!$A:$A,'Payment Log'!$B:$B,$A4))</f>
        <v/>
      </c>
      <c r="H4" s="28">
        <f>IF($E4="","",IF($E4&gt;=600,"Yes — reporting required","Under $600"))</f>
        <v/>
      </c>
      <c r="I4" s="16" t="inlineStr">
        <is>
          <t>Set up/teardown of tents &amp; tables at events I booked and directed</t>
        </is>
      </c>
      <c r="J4" s="25" t="inlineStr">
        <is>
          <t>No</t>
        </is>
      </c>
      <c r="K4" s="25" t="inlineStr">
        <is>
          <t>No</t>
        </is>
      </c>
      <c r="L4" s="25" t="inlineStr">
        <is>
          <t>No</t>
        </is>
      </c>
      <c r="M4" s="25" t="inlineStr">
        <is>
          <t>No</t>
        </is>
      </c>
      <c r="N4" s="25" t="inlineStr">
        <is>
          <t>No</t>
        </is>
      </c>
      <c r="O4" s="29">
        <f>IF(COUNTBLANK($J4:$L4)=3,"",IF(COUNTIF($J4:$L4,"No")&gt;0,"EMPLOYEE (fails ABC test)",IF(COUNTIF($J4:$L4,"Unclear")&gt;0,"Review with CPA",IF(COUNTIF($J4:$L4,"Yes")=3,"Possible contractor — verify","Answer all of A, B, C")))))</f>
        <v/>
      </c>
      <c r="P4" s="29">
        <f>IF($O4="","",IF(ISNUMBER(SEARCH("EMPLOYEE",$O4)),"W-2 (put on payroll)",IF(ISNUMBER(SEARCH("Possible contractor",$O4)),IF($E4="","1099-NEC if $600+",IF($E4&gt;=600,"1099-NEC","No 1099 (under $600)")),"Confirm with CPA")))</f>
        <v/>
      </c>
      <c r="Q4" s="16" t="inlineStr">
        <is>
          <t>EXAMPLE — delete this row. Failed A/B/C → employee.</t>
        </is>
      </c>
    </row>
    <row r="5" ht="30" customHeight="1">
      <c r="A5" s="30" t="n"/>
      <c r="B5" s="20" t="n"/>
      <c r="C5" s="30" t="n"/>
      <c r="D5" s="30" t="n"/>
      <c r="E5" s="26">
        <f>IF($A5="","",SUMIF('Payment Log'!$B:$B,$A5,'Payment Log'!$C:$C))</f>
        <v/>
      </c>
      <c r="F5" s="27">
        <f>IF(COUNTIF('Payment Log'!$B:$B,$A5)=0,"",_xlfn.MINIFS('Payment Log'!$A:$A,'Payment Log'!$B:$B,$A5))</f>
        <v/>
      </c>
      <c r="G5" s="27">
        <f>IF(COUNTIF('Payment Log'!$B:$B,$A5)=0,"",_xlfn.MAXIFS('Payment Log'!$A:$A,'Payment Log'!$B:$B,$A5))</f>
        <v/>
      </c>
      <c r="H5" s="28">
        <f>IF($E5="","",IF($E5&gt;=600,"Yes — reporting required","Under $600"))</f>
        <v/>
      </c>
      <c r="I5" s="20" t="n"/>
      <c r="J5" s="30" t="n"/>
      <c r="K5" s="30" t="n"/>
      <c r="L5" s="30" t="n"/>
      <c r="M5" s="30" t="n"/>
      <c r="N5" s="30" t="n"/>
      <c r="O5" s="29">
        <f>IF(COUNTBLANK($J5:$L5)=3,"",IF(COUNTIF($J5:$L5,"No")&gt;0,"EMPLOYEE (fails ABC test)",IF(COUNTIF($J5:$L5,"Unclear")&gt;0,"Review with CPA",IF(COUNTIF($J5:$L5,"Yes")=3,"Possible contractor — verify","Answer all of A, B, C")))))</f>
        <v/>
      </c>
      <c r="P5" s="29">
        <f>IF($O5="","",IF(ISNUMBER(SEARCH("EMPLOYEE",$O5)),"W-2 (put on payroll)",IF(ISNUMBER(SEARCH("Possible contractor",$O5)),IF($E5="","1099-NEC if $600+",IF($E5&gt;=600,"1099-NEC","No 1099 (under $600)")),"Confirm with CPA")))</f>
        <v/>
      </c>
      <c r="Q5" s="20" t="n"/>
    </row>
    <row r="6" ht="30" customHeight="1">
      <c r="A6" s="30" t="n"/>
      <c r="B6" s="20" t="n"/>
      <c r="C6" s="30" t="n"/>
      <c r="D6" s="30" t="n"/>
      <c r="E6" s="26">
        <f>IF($A6="","",SUMIF('Payment Log'!$B:$B,$A6,'Payment Log'!$C:$C))</f>
        <v/>
      </c>
      <c r="F6" s="27">
        <f>IF(COUNTIF('Payment Log'!$B:$B,$A6)=0,"",_xlfn.MINIFS('Payment Log'!$A:$A,'Payment Log'!$B:$B,$A6))</f>
        <v/>
      </c>
      <c r="G6" s="27">
        <f>IF(COUNTIF('Payment Log'!$B:$B,$A6)=0,"",_xlfn.MAXIFS('Payment Log'!$A:$A,'Payment Log'!$B:$B,$A6))</f>
        <v/>
      </c>
      <c r="H6" s="28">
        <f>IF($E6="","",IF($E6&gt;=600,"Yes — reporting required","Under $600"))</f>
        <v/>
      </c>
      <c r="I6" s="20" t="n"/>
      <c r="J6" s="30" t="n"/>
      <c r="K6" s="30" t="n"/>
      <c r="L6" s="30" t="n"/>
      <c r="M6" s="30" t="n"/>
      <c r="N6" s="30" t="n"/>
      <c r="O6" s="29">
        <f>IF(COUNTBLANK($J6:$L6)=3,"",IF(COUNTIF($J6:$L6,"No")&gt;0,"EMPLOYEE (fails ABC test)",IF(COUNTIF($J6:$L6,"Unclear")&gt;0,"Review with CPA",IF(COUNTIF($J6:$L6,"Yes")=3,"Possible contractor — verify","Answer all of A, B, C")))))</f>
        <v/>
      </c>
      <c r="P6" s="29">
        <f>IF($O6="","",IF(ISNUMBER(SEARCH("EMPLOYEE",$O6)),"W-2 (put on payroll)",IF(ISNUMBER(SEARCH("Possible contractor",$O6)),IF($E6="","1099-NEC if $600+",IF($E6&gt;=600,"1099-NEC","No 1099 (under $600)")),"Confirm with CPA")))</f>
        <v/>
      </c>
      <c r="Q6" s="20" t="n"/>
    </row>
    <row r="7" ht="30" customHeight="1">
      <c r="A7" s="30" t="n"/>
      <c r="B7" s="20" t="n"/>
      <c r="C7" s="30" t="n"/>
      <c r="D7" s="30" t="n"/>
      <c r="E7" s="26">
        <f>IF($A7="","",SUMIF('Payment Log'!$B:$B,$A7,'Payment Log'!$C:$C))</f>
        <v/>
      </c>
      <c r="F7" s="27">
        <f>IF(COUNTIF('Payment Log'!$B:$B,$A7)=0,"",_xlfn.MINIFS('Payment Log'!$A:$A,'Payment Log'!$B:$B,$A7))</f>
        <v/>
      </c>
      <c r="G7" s="27">
        <f>IF(COUNTIF('Payment Log'!$B:$B,$A7)=0,"",_xlfn.MAXIFS('Payment Log'!$A:$A,'Payment Log'!$B:$B,$A7))</f>
        <v/>
      </c>
      <c r="H7" s="28">
        <f>IF($E7="","",IF($E7&gt;=600,"Yes — reporting required","Under $600"))</f>
        <v/>
      </c>
      <c r="I7" s="20" t="n"/>
      <c r="J7" s="30" t="n"/>
      <c r="K7" s="30" t="n"/>
      <c r="L7" s="30" t="n"/>
      <c r="M7" s="30" t="n"/>
      <c r="N7" s="30" t="n"/>
      <c r="O7" s="29">
        <f>IF(COUNTBLANK($J7:$L7)=3,"",IF(COUNTIF($J7:$L7,"No")&gt;0,"EMPLOYEE (fails ABC test)",IF(COUNTIF($J7:$L7,"Unclear")&gt;0,"Review with CPA",IF(COUNTIF($J7:$L7,"Yes")=3,"Possible contractor — verify","Answer all of A, B, C")))))</f>
        <v/>
      </c>
      <c r="P7" s="29">
        <f>IF($O7="","",IF(ISNUMBER(SEARCH("EMPLOYEE",$O7)),"W-2 (put on payroll)",IF(ISNUMBER(SEARCH("Possible contractor",$O7)),IF($E7="","1099-NEC if $600+",IF($E7&gt;=600,"1099-NEC","No 1099 (under $600)")),"Confirm with CPA")))</f>
        <v/>
      </c>
      <c r="Q7" s="20" t="n"/>
    </row>
    <row r="8" ht="30" customHeight="1">
      <c r="A8" s="30" t="n"/>
      <c r="B8" s="20" t="n"/>
      <c r="C8" s="30" t="n"/>
      <c r="D8" s="30" t="n"/>
      <c r="E8" s="26">
        <f>IF($A8="","",SUMIF('Payment Log'!$B:$B,$A8,'Payment Log'!$C:$C))</f>
        <v/>
      </c>
      <c r="F8" s="27">
        <f>IF(COUNTIF('Payment Log'!$B:$B,$A8)=0,"",_xlfn.MINIFS('Payment Log'!$A:$A,'Payment Log'!$B:$B,$A8))</f>
        <v/>
      </c>
      <c r="G8" s="27">
        <f>IF(COUNTIF('Payment Log'!$B:$B,$A8)=0,"",_xlfn.MAXIFS('Payment Log'!$A:$A,'Payment Log'!$B:$B,$A8))</f>
        <v/>
      </c>
      <c r="H8" s="28">
        <f>IF($E8="","",IF($E8&gt;=600,"Yes — reporting required","Under $600"))</f>
        <v/>
      </c>
      <c r="I8" s="20" t="n"/>
      <c r="J8" s="30" t="n"/>
      <c r="K8" s="30" t="n"/>
      <c r="L8" s="30" t="n"/>
      <c r="M8" s="30" t="n"/>
      <c r="N8" s="30" t="n"/>
      <c r="O8" s="29">
        <f>IF(COUNTBLANK($J8:$L8)=3,"",IF(COUNTIF($J8:$L8,"No")&gt;0,"EMPLOYEE (fails ABC test)",IF(COUNTIF($J8:$L8,"Unclear")&gt;0,"Review with CPA",IF(COUNTIF($J8:$L8,"Yes")=3,"Possible contractor — verify","Answer all of A, B, C")))))</f>
        <v/>
      </c>
      <c r="P8" s="29">
        <f>IF($O8="","",IF(ISNUMBER(SEARCH("EMPLOYEE",$O8)),"W-2 (put on payroll)",IF(ISNUMBER(SEARCH("Possible contractor",$O8)),IF($E8="","1099-NEC if $600+",IF($E8&gt;=600,"1099-NEC","No 1099 (under $600)")),"Confirm with CPA")))</f>
        <v/>
      </c>
      <c r="Q8" s="20" t="n"/>
    </row>
    <row r="9" ht="30" customHeight="1">
      <c r="A9" s="30" t="n"/>
      <c r="B9" s="20" t="n"/>
      <c r="C9" s="30" t="n"/>
      <c r="D9" s="30" t="n"/>
      <c r="E9" s="26">
        <f>IF($A9="","",SUMIF('Payment Log'!$B:$B,$A9,'Payment Log'!$C:$C))</f>
        <v/>
      </c>
      <c r="F9" s="27">
        <f>IF(COUNTIF('Payment Log'!$B:$B,$A9)=0,"",_xlfn.MINIFS('Payment Log'!$A:$A,'Payment Log'!$B:$B,$A9))</f>
        <v/>
      </c>
      <c r="G9" s="27">
        <f>IF(COUNTIF('Payment Log'!$B:$B,$A9)=0,"",_xlfn.MAXIFS('Payment Log'!$A:$A,'Payment Log'!$B:$B,$A9))</f>
        <v/>
      </c>
      <c r="H9" s="28">
        <f>IF($E9="","",IF($E9&gt;=600,"Yes — reporting required","Under $600"))</f>
        <v/>
      </c>
      <c r="I9" s="20" t="n"/>
      <c r="J9" s="30" t="n"/>
      <c r="K9" s="30" t="n"/>
      <c r="L9" s="30" t="n"/>
      <c r="M9" s="30" t="n"/>
      <c r="N9" s="30" t="n"/>
      <c r="O9" s="29">
        <f>IF(COUNTBLANK($J9:$L9)=3,"",IF(COUNTIF($J9:$L9,"No")&gt;0,"EMPLOYEE (fails ABC test)",IF(COUNTIF($J9:$L9,"Unclear")&gt;0,"Review with CPA",IF(COUNTIF($J9:$L9,"Yes")=3,"Possible contractor — verify","Answer all of A, B, C")))))</f>
        <v/>
      </c>
      <c r="P9" s="29">
        <f>IF($O9="","",IF(ISNUMBER(SEARCH("EMPLOYEE",$O9)),"W-2 (put on payroll)",IF(ISNUMBER(SEARCH("Possible contractor",$O9)),IF($E9="","1099-NEC if $600+",IF($E9&gt;=600,"1099-NEC","No 1099 (under $600)")),"Confirm with CPA")))</f>
        <v/>
      </c>
      <c r="Q9" s="20" t="n"/>
    </row>
    <row r="10" ht="30" customHeight="1">
      <c r="A10" s="30" t="n"/>
      <c r="B10" s="20" t="n"/>
      <c r="C10" s="30" t="n"/>
      <c r="D10" s="30" t="n"/>
      <c r="E10" s="26">
        <f>IF($A10="","",SUMIF('Payment Log'!$B:$B,$A10,'Payment Log'!$C:$C))</f>
        <v/>
      </c>
      <c r="F10" s="27">
        <f>IF(COUNTIF('Payment Log'!$B:$B,$A10)=0,"",_xlfn.MINIFS('Payment Log'!$A:$A,'Payment Log'!$B:$B,$A10))</f>
        <v/>
      </c>
      <c r="G10" s="27">
        <f>IF(COUNTIF('Payment Log'!$B:$B,$A10)=0,"",_xlfn.MAXIFS('Payment Log'!$A:$A,'Payment Log'!$B:$B,$A10))</f>
        <v/>
      </c>
      <c r="H10" s="28">
        <f>IF($E10="","",IF($E10&gt;=600,"Yes — reporting required","Under $600"))</f>
        <v/>
      </c>
      <c r="I10" s="20" t="n"/>
      <c r="J10" s="30" t="n"/>
      <c r="K10" s="30" t="n"/>
      <c r="L10" s="30" t="n"/>
      <c r="M10" s="30" t="n"/>
      <c r="N10" s="30" t="n"/>
      <c r="O10" s="29">
        <f>IF(COUNTBLANK($J10:$L10)=3,"",IF(COUNTIF($J10:$L10,"No")&gt;0,"EMPLOYEE (fails ABC test)",IF(COUNTIF($J10:$L10,"Unclear")&gt;0,"Review with CPA",IF(COUNTIF($J10:$L10,"Yes")=3,"Possible contractor — verify","Answer all of A, B, C")))))</f>
        <v/>
      </c>
      <c r="P10" s="29">
        <f>IF($O10="","",IF(ISNUMBER(SEARCH("EMPLOYEE",$O10)),"W-2 (put on payroll)",IF(ISNUMBER(SEARCH("Possible contractor",$O10)),IF($E10="","1099-NEC if $600+",IF($E10&gt;=600,"1099-NEC","No 1099 (under $600)")),"Confirm with CPA")))</f>
        <v/>
      </c>
      <c r="Q10" s="20" t="n"/>
    </row>
    <row r="11" ht="30" customHeight="1">
      <c r="A11" s="30" t="n"/>
      <c r="B11" s="20" t="n"/>
      <c r="C11" s="30" t="n"/>
      <c r="D11" s="30" t="n"/>
      <c r="E11" s="26">
        <f>IF($A11="","",SUMIF('Payment Log'!$B:$B,$A11,'Payment Log'!$C:$C))</f>
        <v/>
      </c>
      <c r="F11" s="27">
        <f>IF(COUNTIF('Payment Log'!$B:$B,$A11)=0,"",_xlfn.MINIFS('Payment Log'!$A:$A,'Payment Log'!$B:$B,$A11))</f>
        <v/>
      </c>
      <c r="G11" s="27">
        <f>IF(COUNTIF('Payment Log'!$B:$B,$A11)=0,"",_xlfn.MAXIFS('Payment Log'!$A:$A,'Payment Log'!$B:$B,$A11))</f>
        <v/>
      </c>
      <c r="H11" s="28">
        <f>IF($E11="","",IF($E11&gt;=600,"Yes — reporting required","Under $600"))</f>
        <v/>
      </c>
      <c r="I11" s="20" t="n"/>
      <c r="J11" s="30" t="n"/>
      <c r="K11" s="30" t="n"/>
      <c r="L11" s="30" t="n"/>
      <c r="M11" s="30" t="n"/>
      <c r="N11" s="30" t="n"/>
      <c r="O11" s="29">
        <f>IF(COUNTBLANK($J11:$L11)=3,"",IF(COUNTIF($J11:$L11,"No")&gt;0,"EMPLOYEE (fails ABC test)",IF(COUNTIF($J11:$L11,"Unclear")&gt;0,"Review with CPA",IF(COUNTIF($J11:$L11,"Yes")=3,"Possible contractor — verify","Answer all of A, B, C")))))</f>
        <v/>
      </c>
      <c r="P11" s="29">
        <f>IF($O11="","",IF(ISNUMBER(SEARCH("EMPLOYEE",$O11)),"W-2 (put on payroll)",IF(ISNUMBER(SEARCH("Possible contractor",$O11)),IF($E11="","1099-NEC if $600+",IF($E11&gt;=600,"1099-NEC","No 1099 (under $600)")),"Confirm with CPA")))</f>
        <v/>
      </c>
      <c r="Q11" s="20" t="n"/>
    </row>
    <row r="12" ht="30" customHeight="1">
      <c r="A12" s="30" t="n"/>
      <c r="B12" s="20" t="n"/>
      <c r="C12" s="30" t="n"/>
      <c r="D12" s="30" t="n"/>
      <c r="E12" s="26">
        <f>IF($A12="","",SUMIF('Payment Log'!$B:$B,$A12,'Payment Log'!$C:$C))</f>
        <v/>
      </c>
      <c r="F12" s="27">
        <f>IF(COUNTIF('Payment Log'!$B:$B,$A12)=0,"",_xlfn.MINIFS('Payment Log'!$A:$A,'Payment Log'!$B:$B,$A12))</f>
        <v/>
      </c>
      <c r="G12" s="27">
        <f>IF(COUNTIF('Payment Log'!$B:$B,$A12)=0,"",_xlfn.MAXIFS('Payment Log'!$A:$A,'Payment Log'!$B:$B,$A12))</f>
        <v/>
      </c>
      <c r="H12" s="28">
        <f>IF($E12="","",IF($E12&gt;=600,"Yes — reporting required","Under $600"))</f>
        <v/>
      </c>
      <c r="I12" s="20" t="n"/>
      <c r="J12" s="30" t="n"/>
      <c r="K12" s="30" t="n"/>
      <c r="L12" s="30" t="n"/>
      <c r="M12" s="30" t="n"/>
      <c r="N12" s="30" t="n"/>
      <c r="O12" s="29">
        <f>IF(COUNTBLANK($J12:$L12)=3,"",IF(COUNTIF($J12:$L12,"No")&gt;0,"EMPLOYEE (fails ABC test)",IF(COUNTIF($J12:$L12,"Unclear")&gt;0,"Review with CPA",IF(COUNTIF($J12:$L12,"Yes")=3,"Possible contractor — verify","Answer all of A, B, C")))))</f>
        <v/>
      </c>
      <c r="P12" s="29">
        <f>IF($O12="","",IF(ISNUMBER(SEARCH("EMPLOYEE",$O12)),"W-2 (put on payroll)",IF(ISNUMBER(SEARCH("Possible contractor",$O12)),IF($E12="","1099-NEC if $600+",IF($E12&gt;=600,"1099-NEC","No 1099 (under $600)")),"Confirm with CPA")))</f>
        <v/>
      </c>
      <c r="Q12" s="20" t="n"/>
    </row>
    <row r="13" ht="30" customHeight="1">
      <c r="A13" s="30" t="n"/>
      <c r="B13" s="20" t="n"/>
      <c r="C13" s="30" t="n"/>
      <c r="D13" s="30" t="n"/>
      <c r="E13" s="26">
        <f>IF($A13="","",SUMIF('Payment Log'!$B:$B,$A13,'Payment Log'!$C:$C))</f>
        <v/>
      </c>
      <c r="F13" s="27">
        <f>IF(COUNTIF('Payment Log'!$B:$B,$A13)=0,"",_xlfn.MINIFS('Payment Log'!$A:$A,'Payment Log'!$B:$B,$A13))</f>
        <v/>
      </c>
      <c r="G13" s="27">
        <f>IF(COUNTIF('Payment Log'!$B:$B,$A13)=0,"",_xlfn.MAXIFS('Payment Log'!$A:$A,'Payment Log'!$B:$B,$A13))</f>
        <v/>
      </c>
      <c r="H13" s="28">
        <f>IF($E13="","",IF($E13&gt;=600,"Yes — reporting required","Under $600"))</f>
        <v/>
      </c>
      <c r="I13" s="20" t="n"/>
      <c r="J13" s="30" t="n"/>
      <c r="K13" s="30" t="n"/>
      <c r="L13" s="30" t="n"/>
      <c r="M13" s="30" t="n"/>
      <c r="N13" s="30" t="n"/>
      <c r="O13" s="29">
        <f>IF(COUNTBLANK($J13:$L13)=3,"",IF(COUNTIF($J13:$L13,"No")&gt;0,"EMPLOYEE (fails ABC test)",IF(COUNTIF($J13:$L13,"Unclear")&gt;0,"Review with CPA",IF(COUNTIF($J13:$L13,"Yes")=3,"Possible contractor — verify","Answer all of A, B, C")))))</f>
        <v/>
      </c>
      <c r="P13" s="29">
        <f>IF($O13="","",IF(ISNUMBER(SEARCH("EMPLOYEE",$O13)),"W-2 (put on payroll)",IF(ISNUMBER(SEARCH("Possible contractor",$O13)),IF($E13="","1099-NEC if $600+",IF($E13&gt;=600,"1099-NEC","No 1099 (under $600)")),"Confirm with CPA")))</f>
        <v/>
      </c>
      <c r="Q13" s="20" t="n"/>
    </row>
    <row r="14" ht="30" customHeight="1">
      <c r="A14" s="30" t="n"/>
      <c r="B14" s="20" t="n"/>
      <c r="C14" s="30" t="n"/>
      <c r="D14" s="30" t="n"/>
      <c r="E14" s="26">
        <f>IF($A14="","",SUMIF('Payment Log'!$B:$B,$A14,'Payment Log'!$C:$C))</f>
        <v/>
      </c>
      <c r="F14" s="27">
        <f>IF(COUNTIF('Payment Log'!$B:$B,$A14)=0,"",_xlfn.MINIFS('Payment Log'!$A:$A,'Payment Log'!$B:$B,$A14))</f>
        <v/>
      </c>
      <c r="G14" s="27">
        <f>IF(COUNTIF('Payment Log'!$B:$B,$A14)=0,"",_xlfn.MAXIFS('Payment Log'!$A:$A,'Payment Log'!$B:$B,$A14))</f>
        <v/>
      </c>
      <c r="H14" s="28">
        <f>IF($E14="","",IF($E14&gt;=600,"Yes — reporting required","Under $600"))</f>
        <v/>
      </c>
      <c r="I14" s="20" t="n"/>
      <c r="J14" s="30" t="n"/>
      <c r="K14" s="30" t="n"/>
      <c r="L14" s="30" t="n"/>
      <c r="M14" s="30" t="n"/>
      <c r="N14" s="30" t="n"/>
      <c r="O14" s="29">
        <f>IF(COUNTBLANK($J14:$L14)=3,"",IF(COUNTIF($J14:$L14,"No")&gt;0,"EMPLOYEE (fails ABC test)",IF(COUNTIF($J14:$L14,"Unclear")&gt;0,"Review with CPA",IF(COUNTIF($J14:$L14,"Yes")=3,"Possible contractor — verify","Answer all of A, B, C")))))</f>
        <v/>
      </c>
      <c r="P14" s="29">
        <f>IF($O14="","",IF(ISNUMBER(SEARCH("EMPLOYEE",$O14)),"W-2 (put on payroll)",IF(ISNUMBER(SEARCH("Possible contractor",$O14)),IF($E14="","1099-NEC if $600+",IF($E14&gt;=600,"1099-NEC","No 1099 (under $600)")),"Confirm with CPA")))</f>
        <v/>
      </c>
      <c r="Q14" s="20" t="n"/>
    </row>
    <row r="15" ht="30" customHeight="1">
      <c r="A15" s="30" t="n"/>
      <c r="B15" s="20" t="n"/>
      <c r="C15" s="30" t="n"/>
      <c r="D15" s="30" t="n"/>
      <c r="E15" s="26">
        <f>IF($A15="","",SUMIF('Payment Log'!$B:$B,$A15,'Payment Log'!$C:$C))</f>
        <v/>
      </c>
      <c r="F15" s="27">
        <f>IF(COUNTIF('Payment Log'!$B:$B,$A15)=0,"",_xlfn.MINIFS('Payment Log'!$A:$A,'Payment Log'!$B:$B,$A15))</f>
        <v/>
      </c>
      <c r="G15" s="27">
        <f>IF(COUNTIF('Payment Log'!$B:$B,$A15)=0,"",_xlfn.MAXIFS('Payment Log'!$A:$A,'Payment Log'!$B:$B,$A15))</f>
        <v/>
      </c>
      <c r="H15" s="28">
        <f>IF($E15="","",IF($E15&gt;=600,"Yes — reporting required","Under $600"))</f>
        <v/>
      </c>
      <c r="I15" s="20" t="n"/>
      <c r="J15" s="30" t="n"/>
      <c r="K15" s="30" t="n"/>
      <c r="L15" s="30" t="n"/>
      <c r="M15" s="30" t="n"/>
      <c r="N15" s="30" t="n"/>
      <c r="O15" s="29">
        <f>IF(COUNTBLANK($J15:$L15)=3,"",IF(COUNTIF($J15:$L15,"No")&gt;0,"EMPLOYEE (fails ABC test)",IF(COUNTIF($J15:$L15,"Unclear")&gt;0,"Review with CPA",IF(COUNTIF($J15:$L15,"Yes")=3,"Possible contractor — verify","Answer all of A, B, C")))))</f>
        <v/>
      </c>
      <c r="P15" s="29">
        <f>IF($O15="","",IF(ISNUMBER(SEARCH("EMPLOYEE",$O15)),"W-2 (put on payroll)",IF(ISNUMBER(SEARCH("Possible contractor",$O15)),IF($E15="","1099-NEC if $600+",IF($E15&gt;=600,"1099-NEC","No 1099 (under $600)")),"Confirm with CPA")))</f>
        <v/>
      </c>
      <c r="Q15" s="20" t="n"/>
    </row>
    <row r="16" ht="30" customHeight="1">
      <c r="A16" s="30" t="n"/>
      <c r="B16" s="20" t="n"/>
      <c r="C16" s="30" t="n"/>
      <c r="D16" s="30" t="n"/>
      <c r="E16" s="26">
        <f>IF($A16="","",SUMIF('Payment Log'!$B:$B,$A16,'Payment Log'!$C:$C))</f>
        <v/>
      </c>
      <c r="F16" s="27">
        <f>IF(COUNTIF('Payment Log'!$B:$B,$A16)=0,"",_xlfn.MINIFS('Payment Log'!$A:$A,'Payment Log'!$B:$B,$A16))</f>
        <v/>
      </c>
      <c r="G16" s="27">
        <f>IF(COUNTIF('Payment Log'!$B:$B,$A16)=0,"",_xlfn.MAXIFS('Payment Log'!$A:$A,'Payment Log'!$B:$B,$A16))</f>
        <v/>
      </c>
      <c r="H16" s="28">
        <f>IF($E16="","",IF($E16&gt;=600,"Yes — reporting required","Under $600"))</f>
        <v/>
      </c>
      <c r="I16" s="20" t="n"/>
      <c r="J16" s="30" t="n"/>
      <c r="K16" s="30" t="n"/>
      <c r="L16" s="30" t="n"/>
      <c r="M16" s="30" t="n"/>
      <c r="N16" s="30" t="n"/>
      <c r="O16" s="29">
        <f>IF(COUNTBLANK($J16:$L16)=3,"",IF(COUNTIF($J16:$L16,"No")&gt;0,"EMPLOYEE (fails ABC test)",IF(COUNTIF($J16:$L16,"Unclear")&gt;0,"Review with CPA",IF(COUNTIF($J16:$L16,"Yes")=3,"Possible contractor — verify","Answer all of A, B, C")))))</f>
        <v/>
      </c>
      <c r="P16" s="29">
        <f>IF($O16="","",IF(ISNUMBER(SEARCH("EMPLOYEE",$O16)),"W-2 (put on payroll)",IF(ISNUMBER(SEARCH("Possible contractor",$O16)),IF($E16="","1099-NEC if $600+",IF($E16&gt;=600,"1099-NEC","No 1099 (under $600)")),"Confirm with CPA")))</f>
        <v/>
      </c>
      <c r="Q16" s="20" t="n"/>
    </row>
    <row r="17" ht="30" customHeight="1">
      <c r="A17" s="30" t="n"/>
      <c r="B17" s="20" t="n"/>
      <c r="C17" s="30" t="n"/>
      <c r="D17" s="30" t="n"/>
      <c r="E17" s="26">
        <f>IF($A17="","",SUMIF('Payment Log'!$B:$B,$A17,'Payment Log'!$C:$C))</f>
        <v/>
      </c>
      <c r="F17" s="27">
        <f>IF(COUNTIF('Payment Log'!$B:$B,$A17)=0,"",_xlfn.MINIFS('Payment Log'!$A:$A,'Payment Log'!$B:$B,$A17))</f>
        <v/>
      </c>
      <c r="G17" s="27">
        <f>IF(COUNTIF('Payment Log'!$B:$B,$A17)=0,"",_xlfn.MAXIFS('Payment Log'!$A:$A,'Payment Log'!$B:$B,$A17))</f>
        <v/>
      </c>
      <c r="H17" s="28">
        <f>IF($E17="","",IF($E17&gt;=600,"Yes — reporting required","Under $600"))</f>
        <v/>
      </c>
      <c r="I17" s="20" t="n"/>
      <c r="J17" s="30" t="n"/>
      <c r="K17" s="30" t="n"/>
      <c r="L17" s="30" t="n"/>
      <c r="M17" s="30" t="n"/>
      <c r="N17" s="30" t="n"/>
      <c r="O17" s="29">
        <f>IF(COUNTBLANK($J17:$L17)=3,"",IF(COUNTIF($J17:$L17,"No")&gt;0,"EMPLOYEE (fails ABC test)",IF(COUNTIF($J17:$L17,"Unclear")&gt;0,"Review with CPA",IF(COUNTIF($J17:$L17,"Yes")=3,"Possible contractor — verify","Answer all of A, B, C")))))</f>
        <v/>
      </c>
      <c r="P17" s="29">
        <f>IF($O17="","",IF(ISNUMBER(SEARCH("EMPLOYEE",$O17)),"W-2 (put on payroll)",IF(ISNUMBER(SEARCH("Possible contractor",$O17)),IF($E17="","1099-NEC if $600+",IF($E17&gt;=600,"1099-NEC","No 1099 (under $600)")),"Confirm with CPA")))</f>
        <v/>
      </c>
      <c r="Q17" s="20" t="n"/>
    </row>
    <row r="18" ht="30" customHeight="1">
      <c r="A18" s="30" t="n"/>
      <c r="B18" s="20" t="n"/>
      <c r="C18" s="30" t="n"/>
      <c r="D18" s="30" t="n"/>
      <c r="E18" s="26">
        <f>IF($A18="","",SUMIF('Payment Log'!$B:$B,$A18,'Payment Log'!$C:$C))</f>
        <v/>
      </c>
      <c r="F18" s="27">
        <f>IF(COUNTIF('Payment Log'!$B:$B,$A18)=0,"",_xlfn.MINIFS('Payment Log'!$A:$A,'Payment Log'!$B:$B,$A18))</f>
        <v/>
      </c>
      <c r="G18" s="27">
        <f>IF(COUNTIF('Payment Log'!$B:$B,$A18)=0,"",_xlfn.MAXIFS('Payment Log'!$A:$A,'Payment Log'!$B:$B,$A18))</f>
        <v/>
      </c>
      <c r="H18" s="28">
        <f>IF($E18="","",IF($E18&gt;=600,"Yes — reporting required","Under $600"))</f>
        <v/>
      </c>
      <c r="I18" s="20" t="n"/>
      <c r="J18" s="30" t="n"/>
      <c r="K18" s="30" t="n"/>
      <c r="L18" s="30" t="n"/>
      <c r="M18" s="30" t="n"/>
      <c r="N18" s="30" t="n"/>
      <c r="O18" s="29">
        <f>IF(COUNTBLANK($J18:$L18)=3,"",IF(COUNTIF($J18:$L18,"No")&gt;0,"EMPLOYEE (fails ABC test)",IF(COUNTIF($J18:$L18,"Unclear")&gt;0,"Review with CPA",IF(COUNTIF($J18:$L18,"Yes")=3,"Possible contractor — verify","Answer all of A, B, C")))))</f>
        <v/>
      </c>
      <c r="P18" s="29">
        <f>IF($O18="","",IF(ISNUMBER(SEARCH("EMPLOYEE",$O18)),"W-2 (put on payroll)",IF(ISNUMBER(SEARCH("Possible contractor",$O18)),IF($E18="","1099-NEC if $600+",IF($E18&gt;=600,"1099-NEC","No 1099 (under $600)")),"Confirm with CPA")))</f>
        <v/>
      </c>
      <c r="Q18" s="20" t="n"/>
    </row>
    <row r="19" ht="30" customHeight="1">
      <c r="A19" s="30" t="n"/>
      <c r="B19" s="20" t="n"/>
      <c r="C19" s="30" t="n"/>
      <c r="D19" s="30" t="n"/>
      <c r="E19" s="26">
        <f>IF($A19="","",SUMIF('Payment Log'!$B:$B,$A19,'Payment Log'!$C:$C))</f>
        <v/>
      </c>
      <c r="F19" s="27">
        <f>IF(COUNTIF('Payment Log'!$B:$B,$A19)=0,"",_xlfn.MINIFS('Payment Log'!$A:$A,'Payment Log'!$B:$B,$A19))</f>
        <v/>
      </c>
      <c r="G19" s="27">
        <f>IF(COUNTIF('Payment Log'!$B:$B,$A19)=0,"",_xlfn.MAXIFS('Payment Log'!$A:$A,'Payment Log'!$B:$B,$A19))</f>
        <v/>
      </c>
      <c r="H19" s="28">
        <f>IF($E19="","",IF($E19&gt;=600,"Yes — reporting required","Under $600"))</f>
        <v/>
      </c>
      <c r="I19" s="20" t="n"/>
      <c r="J19" s="30" t="n"/>
      <c r="K19" s="30" t="n"/>
      <c r="L19" s="30" t="n"/>
      <c r="M19" s="30" t="n"/>
      <c r="N19" s="30" t="n"/>
      <c r="O19" s="29">
        <f>IF(COUNTBLANK($J19:$L19)=3,"",IF(COUNTIF($J19:$L19,"No")&gt;0,"EMPLOYEE (fails ABC test)",IF(COUNTIF($J19:$L19,"Unclear")&gt;0,"Review with CPA",IF(COUNTIF($J19:$L19,"Yes")=3,"Possible contractor — verify","Answer all of A, B, C")))))</f>
        <v/>
      </c>
      <c r="P19" s="29">
        <f>IF($O19="","",IF(ISNUMBER(SEARCH("EMPLOYEE",$O19)),"W-2 (put on payroll)",IF(ISNUMBER(SEARCH("Possible contractor",$O19)),IF($E19="","1099-NEC if $600+",IF($E19&gt;=600,"1099-NEC","No 1099 (under $600)")),"Confirm with CPA")))</f>
        <v/>
      </c>
      <c r="Q19" s="20" t="n"/>
    </row>
    <row r="20" ht="30" customHeight="1">
      <c r="A20" s="30" t="n"/>
      <c r="B20" s="20" t="n"/>
      <c r="C20" s="30" t="n"/>
      <c r="D20" s="30" t="n"/>
      <c r="E20" s="26">
        <f>IF($A20="","",SUMIF('Payment Log'!$B:$B,$A20,'Payment Log'!$C:$C))</f>
        <v/>
      </c>
      <c r="F20" s="27">
        <f>IF(COUNTIF('Payment Log'!$B:$B,$A20)=0,"",_xlfn.MINIFS('Payment Log'!$A:$A,'Payment Log'!$B:$B,$A20))</f>
        <v/>
      </c>
      <c r="G20" s="27">
        <f>IF(COUNTIF('Payment Log'!$B:$B,$A20)=0,"",_xlfn.MAXIFS('Payment Log'!$A:$A,'Payment Log'!$B:$B,$A20))</f>
        <v/>
      </c>
      <c r="H20" s="28">
        <f>IF($E20="","",IF($E20&gt;=600,"Yes — reporting required","Under $600"))</f>
        <v/>
      </c>
      <c r="I20" s="20" t="n"/>
      <c r="J20" s="30" t="n"/>
      <c r="K20" s="30" t="n"/>
      <c r="L20" s="30" t="n"/>
      <c r="M20" s="30" t="n"/>
      <c r="N20" s="30" t="n"/>
      <c r="O20" s="29">
        <f>IF(COUNTBLANK($J20:$L20)=3,"",IF(COUNTIF($J20:$L20,"No")&gt;0,"EMPLOYEE (fails ABC test)",IF(COUNTIF($J20:$L20,"Unclear")&gt;0,"Review with CPA",IF(COUNTIF($J20:$L20,"Yes")=3,"Possible contractor — verify","Answer all of A, B, C")))))</f>
        <v/>
      </c>
      <c r="P20" s="29">
        <f>IF($O20="","",IF(ISNUMBER(SEARCH("EMPLOYEE",$O20)),"W-2 (put on payroll)",IF(ISNUMBER(SEARCH("Possible contractor",$O20)),IF($E20="","1099-NEC if $600+",IF($E20&gt;=600,"1099-NEC","No 1099 (under $600)")),"Confirm with CPA")))</f>
        <v/>
      </c>
      <c r="Q20" s="20" t="n"/>
    </row>
    <row r="21" ht="30" customHeight="1">
      <c r="A21" s="30" t="n"/>
      <c r="B21" s="20" t="n"/>
      <c r="C21" s="30" t="n"/>
      <c r="D21" s="30" t="n"/>
      <c r="E21" s="26">
        <f>IF($A21="","",SUMIF('Payment Log'!$B:$B,$A21,'Payment Log'!$C:$C))</f>
        <v/>
      </c>
      <c r="F21" s="27">
        <f>IF(COUNTIF('Payment Log'!$B:$B,$A21)=0,"",_xlfn.MINIFS('Payment Log'!$A:$A,'Payment Log'!$B:$B,$A21))</f>
        <v/>
      </c>
      <c r="G21" s="27">
        <f>IF(COUNTIF('Payment Log'!$B:$B,$A21)=0,"",_xlfn.MAXIFS('Payment Log'!$A:$A,'Payment Log'!$B:$B,$A21))</f>
        <v/>
      </c>
      <c r="H21" s="28">
        <f>IF($E21="","",IF($E21&gt;=600,"Yes — reporting required","Under $600"))</f>
        <v/>
      </c>
      <c r="I21" s="20" t="n"/>
      <c r="J21" s="30" t="n"/>
      <c r="K21" s="30" t="n"/>
      <c r="L21" s="30" t="n"/>
      <c r="M21" s="30" t="n"/>
      <c r="N21" s="30" t="n"/>
      <c r="O21" s="29">
        <f>IF(COUNTBLANK($J21:$L21)=3,"",IF(COUNTIF($J21:$L21,"No")&gt;0,"EMPLOYEE (fails ABC test)",IF(COUNTIF($J21:$L21,"Unclear")&gt;0,"Review with CPA",IF(COUNTIF($J21:$L21,"Yes")=3,"Possible contractor — verify","Answer all of A, B, C")))))</f>
        <v/>
      </c>
      <c r="P21" s="29">
        <f>IF($O21="","",IF(ISNUMBER(SEARCH("EMPLOYEE",$O21)),"W-2 (put on payroll)",IF(ISNUMBER(SEARCH("Possible contractor",$O21)),IF($E21="","1099-NEC if $600+",IF($E21&gt;=600,"1099-NEC","No 1099 (under $600)")),"Confirm with CPA")))</f>
        <v/>
      </c>
      <c r="Q21" s="20" t="n"/>
    </row>
    <row r="22" ht="30" customHeight="1">
      <c r="A22" s="30" t="n"/>
      <c r="B22" s="20" t="n"/>
      <c r="C22" s="30" t="n"/>
      <c r="D22" s="30" t="n"/>
      <c r="E22" s="26">
        <f>IF($A22="","",SUMIF('Payment Log'!$B:$B,$A22,'Payment Log'!$C:$C))</f>
        <v/>
      </c>
      <c r="F22" s="27">
        <f>IF(COUNTIF('Payment Log'!$B:$B,$A22)=0,"",_xlfn.MINIFS('Payment Log'!$A:$A,'Payment Log'!$B:$B,$A22))</f>
        <v/>
      </c>
      <c r="G22" s="27">
        <f>IF(COUNTIF('Payment Log'!$B:$B,$A22)=0,"",_xlfn.MAXIFS('Payment Log'!$A:$A,'Payment Log'!$B:$B,$A22))</f>
        <v/>
      </c>
      <c r="H22" s="28">
        <f>IF($E22="","",IF($E22&gt;=600,"Yes — reporting required","Under $600"))</f>
        <v/>
      </c>
      <c r="I22" s="20" t="n"/>
      <c r="J22" s="30" t="n"/>
      <c r="K22" s="30" t="n"/>
      <c r="L22" s="30" t="n"/>
      <c r="M22" s="30" t="n"/>
      <c r="N22" s="30" t="n"/>
      <c r="O22" s="29">
        <f>IF(COUNTBLANK($J22:$L22)=3,"",IF(COUNTIF($J22:$L22,"No")&gt;0,"EMPLOYEE (fails ABC test)",IF(COUNTIF($J22:$L22,"Unclear")&gt;0,"Review with CPA",IF(COUNTIF($J22:$L22,"Yes")=3,"Possible contractor — verify","Answer all of A, B, C")))))</f>
        <v/>
      </c>
      <c r="P22" s="29">
        <f>IF($O22="","",IF(ISNUMBER(SEARCH("EMPLOYEE",$O22)),"W-2 (put on payroll)",IF(ISNUMBER(SEARCH("Possible contractor",$O22)),IF($E22="","1099-NEC if $600+",IF($E22&gt;=600,"1099-NEC","No 1099 (under $600)")),"Confirm with CPA")))</f>
        <v/>
      </c>
      <c r="Q22" s="20" t="n"/>
    </row>
    <row r="23" ht="30" customHeight="1">
      <c r="A23" s="30" t="n"/>
      <c r="B23" s="20" t="n"/>
      <c r="C23" s="30" t="n"/>
      <c r="D23" s="30" t="n"/>
      <c r="E23" s="26">
        <f>IF($A23="","",SUMIF('Payment Log'!$B:$B,$A23,'Payment Log'!$C:$C))</f>
        <v/>
      </c>
      <c r="F23" s="27">
        <f>IF(COUNTIF('Payment Log'!$B:$B,$A23)=0,"",_xlfn.MINIFS('Payment Log'!$A:$A,'Payment Log'!$B:$B,$A23))</f>
        <v/>
      </c>
      <c r="G23" s="27">
        <f>IF(COUNTIF('Payment Log'!$B:$B,$A23)=0,"",_xlfn.MAXIFS('Payment Log'!$A:$A,'Payment Log'!$B:$B,$A23))</f>
        <v/>
      </c>
      <c r="H23" s="28">
        <f>IF($E23="","",IF($E23&gt;=600,"Yes — reporting required","Under $600"))</f>
        <v/>
      </c>
      <c r="I23" s="20" t="n"/>
      <c r="J23" s="30" t="n"/>
      <c r="K23" s="30" t="n"/>
      <c r="L23" s="30" t="n"/>
      <c r="M23" s="30" t="n"/>
      <c r="N23" s="30" t="n"/>
      <c r="O23" s="29">
        <f>IF(COUNTBLANK($J23:$L23)=3,"",IF(COUNTIF($J23:$L23,"No")&gt;0,"EMPLOYEE (fails ABC test)",IF(COUNTIF($J23:$L23,"Unclear")&gt;0,"Review with CPA",IF(COUNTIF($J23:$L23,"Yes")=3,"Possible contractor — verify","Answer all of A, B, C")))))</f>
        <v/>
      </c>
      <c r="P23" s="29">
        <f>IF($O23="","",IF(ISNUMBER(SEARCH("EMPLOYEE",$O23)),"W-2 (put on payroll)",IF(ISNUMBER(SEARCH("Possible contractor",$O23)),IF($E23="","1099-NEC if $600+",IF($E23&gt;=600,"1099-NEC","No 1099 (under $600)")),"Confirm with CPA")))</f>
        <v/>
      </c>
      <c r="Q23" s="20" t="n"/>
    </row>
  </sheetData>
  <mergeCells count="2">
    <mergeCell ref="A2:Q2"/>
    <mergeCell ref="A1:Q1"/>
  </mergeCells>
  <dataValidations count="7">
    <dataValidation sqref="C4:C23" showDropDown="0" showInputMessage="0" showErrorMessage="0" allowBlank="1" error="Pick from the list" prompt="Choose an option" type="list">
      <formula1>"Yes,No"</formula1>
    </dataValidation>
    <dataValidation sqref="D4:D23" showDropDown="0" showInputMessage="0" showErrorMessage="0" allowBlank="1" error="Pick from the list" prompt="Choose an option" type="list">
      <formula1>"Yes,No"</formula1>
    </dataValidation>
    <dataValidation sqref="M4:M23" showDropDown="0" showInputMessage="0" showErrorMessage="0" allowBlank="1" error="Pick from the list" prompt="Choose an option" type="list">
      <formula1>"Yes,No"</formula1>
    </dataValidation>
    <dataValidation sqref="N4:N23" showDropDown="0" showInputMessage="0" showErrorMessage="0" allowBlank="1" error="Pick from the list" prompt="Choose an option" type="list">
      <formula1>"Yes,No"</formula1>
    </dataValidation>
    <dataValidation sqref="J4:J23" showDropDown="0" showInputMessage="0" showErrorMessage="0" allowBlank="1" error="Pick from the list" prompt="Choose an option" type="list">
      <formula1>"Yes,No,Unclear"</formula1>
    </dataValidation>
    <dataValidation sqref="K4:K23" showDropDown="0" showInputMessage="0" showErrorMessage="0" allowBlank="1" error="Pick from the list" prompt="Choose an option" type="list">
      <formula1>"Yes,No,Unclear"</formula1>
    </dataValidation>
    <dataValidation sqref="L4:L23" showDropDown="0" showInputMessage="0" showErrorMessage="0" allowBlank="1" error="Pick from the list" prompt="Choose an option" type="list">
      <formula1>"Yes,No,Unclear"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2026-07-31T20:55:41Z</dcterms:created>
  <dcterms:modified xsi:type="dcterms:W3CDTF">2026-07-31T20:55:41Z</dcterms:modified>
</cp:coreProperties>
</file>