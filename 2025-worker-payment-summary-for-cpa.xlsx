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 Summary" sheetId="1" state="visible" r:id="rId1"/>
    <sheet name="Paymen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mm/dd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4D3E"/>
      <sz val="10"/>
    </font>
  </fonts>
  <fills count="5">
    <fill>
      <patternFill/>
    </fill>
    <fill>
      <patternFill patternType="gray125"/>
    </fill>
    <fill>
      <patternFill patternType="solid">
        <fgColor rgb="001A4D3E"/>
      </patternFill>
    </fill>
    <fill>
      <patternFill patternType="solid">
        <fgColor rgb="002D6A4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4" borderId="1" applyAlignment="1" pivotButton="0" quotePrefix="0" xfId="0">
      <alignment horizontal="right"/>
    </xf>
    <xf numFmtId="165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1" customWidth="1" min="4" max="4"/>
    <col width="13" customWidth="1" min="5" max="5"/>
    <col width="13" customWidth="1" min="6" max="6"/>
    <col width="40" customWidth="1" min="7" max="7"/>
    <col width="20" customWidth="1" min="8" max="8"/>
    <col width="14" customWidth="1" min="9" max="9"/>
    <col width="14" customWidth="1" min="10" max="10"/>
    <col width="12" customWidth="1" min="11" max="11"/>
  </cols>
  <sheetData>
    <row r="1" ht="28" customHeight="1">
      <c r="A1" s="1" t="inlineStr">
        <is>
          <t>Tasteful Event Rentals — 2025 Worker Payment Summary (for CPA)</t>
        </is>
      </c>
    </row>
    <row r="2" ht="30" customHeight="1">
      <c r="A2" s="2" t="inlineStr">
        <is>
          <t>Three recurring workers were scheduled and directed by me for work within my rental business and are proposed as employees (W-2). Julian Budde was a single one-time $44 job and is proposed as independent contract labor. All treatment is pending final confirmation by CPA and legal counsel.</t>
        </is>
      </c>
    </row>
    <row r="3" ht="42" customHeight="1">
      <c r="A3" s="3" t="inlineStr">
        <is>
          <t>Worker</t>
        </is>
      </c>
      <c r="B3" s="3" t="inlineStr">
        <is>
          <t>Email / Phone</t>
        </is>
      </c>
      <c r="C3" s="3" t="inlineStr">
        <is>
          <t>Total Paid 2025 ($)</t>
        </is>
      </c>
      <c r="D3" s="3" t="inlineStr">
        <is>
          <t># Payments</t>
        </is>
      </c>
      <c r="E3" s="3" t="inlineStr">
        <is>
          <t>First Payment</t>
        </is>
      </c>
      <c r="F3" s="3" t="inlineStr">
        <is>
          <t>Last Payment</t>
        </is>
      </c>
      <c r="G3" s="3" t="inlineStr">
        <is>
          <t>Work Performed</t>
        </is>
      </c>
      <c r="H3" s="3" t="inlineStr">
        <is>
          <t>Did I set schedule &amp; direct how they worked?</t>
        </is>
      </c>
      <c r="I3" s="3" t="inlineStr">
        <is>
          <t>SSN / W-4 on file?</t>
        </is>
      </c>
      <c r="J3" s="3" t="inlineStr">
        <is>
          <t>Classification</t>
        </is>
      </c>
      <c r="K3" s="3" t="inlineStr">
        <is>
          <t>Form to Issue</t>
        </is>
      </c>
    </row>
    <row r="4" ht="48" customHeight="1">
      <c r="A4" s="4" t="inlineStr">
        <is>
          <t>Isaiah Melody Ansley</t>
        </is>
      </c>
      <c r="B4" s="5" t="inlineStr">
        <is>
          <t>imelodyansley@gmail.com / 619-857-5650</t>
        </is>
      </c>
      <c r="C4" s="6">
        <f>SUMIF('Payment Detail'!$B:$B,$A4,'Payment Detail'!$C:$C)</f>
        <v/>
      </c>
      <c r="D4" s="4">
        <f>COUNTIF('Payment Detail'!$B:$B,$A4)</f>
        <v/>
      </c>
      <c r="E4" s="7" t="n">
        <v>45792</v>
      </c>
      <c r="F4" s="7" t="n">
        <v>46003</v>
      </c>
      <c r="G4" s="5" t="inlineStr">
        <is>
          <t>Delivery, setup and teardown of rental equipment at events I booked and directed; plus equipment maintenance and construction.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Employee</t>
        </is>
      </c>
      <c r="K4" s="4" t="inlineStr">
        <is>
          <t>W-2</t>
        </is>
      </c>
    </row>
    <row r="5" ht="48" customHeight="1">
      <c r="A5" s="4" t="inlineStr">
        <is>
          <t>Tiffany Acevedo</t>
        </is>
      </c>
      <c r="B5" s="5" t="inlineStr">
        <is>
          <t>tiffacevedo44@gmail.com / 619-606-6421</t>
        </is>
      </c>
      <c r="C5" s="6">
        <f>SUMIF('Payment Detail'!$B:$B,$A5,'Payment Detail'!$C:$C)</f>
        <v/>
      </c>
      <c r="D5" s="4">
        <f>COUNTIF('Payment Detail'!$B:$B,$A5)</f>
        <v/>
      </c>
      <c r="E5" s="7" t="n">
        <v>45849</v>
      </c>
      <c r="F5" s="7" t="n">
        <v>46012</v>
      </c>
      <c r="G5" s="5" t="inlineStr">
        <is>
          <t>Delivery, setup and teardown of rental equipment at events I booked and directed.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Employee</t>
        </is>
      </c>
      <c r="K5" s="4" t="inlineStr">
        <is>
          <t>W-2</t>
        </is>
      </c>
    </row>
    <row r="6" ht="48" customHeight="1">
      <c r="A6" s="4" t="inlineStr">
        <is>
          <t>Jeremiah Thomas</t>
        </is>
      </c>
      <c r="B6" s="5" t="inlineStr">
        <is>
          <t>jltthegamer90@gmail.com / 619-994-4408</t>
        </is>
      </c>
      <c r="C6" s="6">
        <f>SUMIF('Payment Detail'!$B:$B,$A6,'Payment Detail'!$C:$C)</f>
        <v/>
      </c>
      <c r="D6" s="4">
        <f>COUNTIF('Payment Detail'!$B:$B,$A6)</f>
        <v/>
      </c>
      <c r="E6" s="7" t="n">
        <v>45973</v>
      </c>
      <c r="F6" s="7" t="n">
        <v>46020</v>
      </c>
      <c r="G6" s="5" t="inlineStr">
        <is>
          <t>Delivery, setup and teardown of rental equipment at events I booked and directed; plus equipment maintenance.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Employee</t>
        </is>
      </c>
      <c r="K6" s="4" t="inlineStr">
        <is>
          <t>W-2</t>
        </is>
      </c>
    </row>
    <row r="7" ht="48" customHeight="1">
      <c r="A7" s="4" t="inlineStr">
        <is>
          <t>Julian Budde</t>
        </is>
      </c>
      <c r="B7" s="5" t="inlineStr">
        <is>
          <t>(need to collect)</t>
        </is>
      </c>
      <c r="C7" s="6">
        <f>SUMIF('Payment Detail'!$B:$B,$A7,'Payment Detail'!$C:$C)</f>
        <v/>
      </c>
      <c r="D7" s="4">
        <f>COUNTIF('Payment Detail'!$B:$B,$A7)</f>
        <v/>
      </c>
      <c r="E7" s="7" t="n">
        <v>46020</v>
      </c>
      <c r="F7" s="7" t="n">
        <v>46020</v>
      </c>
      <c r="G7" s="5" t="inlineStr">
        <is>
          <t>Equipment maintenance — single one-time job; no ongoing relationship. See note below.</t>
        </is>
      </c>
      <c r="H7" s="4" t="inlineStr">
        <is>
          <t>One-time*</t>
        </is>
      </c>
      <c r="I7" s="4" t="inlineStr">
        <is>
          <t>No</t>
        </is>
      </c>
      <c r="J7" s="4" t="inlineStr">
        <is>
          <t>Contractor (proposed — CPA to confirm)</t>
        </is>
      </c>
      <c r="K7" s="4" t="inlineStr">
        <is>
          <t>Contract labor; no 1099 (&lt;$600)</t>
        </is>
      </c>
    </row>
    <row r="8">
      <c r="A8" s="8" t="inlineStr">
        <is>
          <t>TOTAL</t>
        </is>
      </c>
      <c r="B8" s="8" t="n"/>
      <c r="C8" s="9">
        <f>SUM(C4:C7)</f>
        <v/>
      </c>
      <c r="D8" s="8">
        <f>SUM(D4:D7)</f>
        <v/>
      </c>
      <c r="E8" s="8" t="n"/>
      <c r="F8" s="8" t="n"/>
      <c r="G8" s="8" t="n"/>
      <c r="H8" s="8" t="n"/>
      <c r="I8" s="8" t="n"/>
      <c r="J8" s="8" t="n"/>
      <c r="K8" s="8" t="n"/>
    </row>
    <row r="10" ht="56" customHeight="1">
      <c r="A10" s="10" t="inlineStr">
        <is>
          <t>* Julian Budde: one payment of $44 for a single equipment-maintenance job, with no ongoing relationship — proposed as independent contract labor (under $600, so no Form 1099-NEC is required). Note for CPA: this is the same category of maintenance work performed by Isaiah and Jeremiah, who are proposed as employees; please confirm that treating Julian's one-time job as contract labor is appropriate and consistent.</t>
        </is>
      </c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6" customWidth="1" min="4" max="4"/>
    <col width="34" customWidth="1" min="5" max="5"/>
  </cols>
  <sheetData>
    <row r="1" ht="26" customHeight="1">
      <c r="A1" s="1" t="inlineStr">
        <is>
          <t>Payment Detail — all 2025 payments (24 total)</t>
        </is>
      </c>
    </row>
    <row r="2" ht="22" customHeight="1">
      <c r="A2" s="3" t="inlineStr">
        <is>
          <t>Date</t>
        </is>
      </c>
      <c r="B2" s="3" t="inlineStr">
        <is>
          <t>Worker</t>
        </is>
      </c>
      <c r="C2" s="3" t="inlineStr">
        <is>
          <t>Amount ($)</t>
        </is>
      </c>
      <c r="D2" s="3" t="inlineStr">
        <is>
          <t>Payment Method</t>
        </is>
      </c>
      <c r="E2" s="3" t="inlineStr">
        <is>
          <t>What it was for</t>
        </is>
      </c>
    </row>
    <row r="3">
      <c r="A3" s="7" t="n">
        <v>45792</v>
      </c>
      <c r="B3" s="4" t="inlineStr">
        <is>
          <t>Isaiah Melody Ansley</t>
        </is>
      </c>
      <c r="C3" s="6" t="n">
        <v>100</v>
      </c>
      <c r="D3" s="4" t="inlineStr">
        <is>
          <t>Check #101</t>
        </is>
      </c>
      <c r="E3" s="5" t="inlineStr">
        <is>
          <t>Equipment delivery</t>
        </is>
      </c>
    </row>
    <row r="4">
      <c r="A4" s="7" t="n">
        <v>45823</v>
      </c>
      <c r="B4" s="4" t="inlineStr">
        <is>
          <t>Isaiah Melody Ansley</t>
        </is>
      </c>
      <c r="C4" s="6" t="n">
        <v>125</v>
      </c>
      <c r="D4" s="4" t="inlineStr">
        <is>
          <t>Check #103</t>
        </is>
      </c>
      <c r="E4" s="5" t="inlineStr">
        <is>
          <t>Delivery + pickup</t>
        </is>
      </c>
    </row>
    <row r="5">
      <c r="A5" s="7" t="n">
        <v>45849</v>
      </c>
      <c r="B5" s="4" t="inlineStr">
        <is>
          <t>Tiffany Acevedo</t>
        </is>
      </c>
      <c r="C5" s="6" t="n">
        <v>150</v>
      </c>
      <c r="D5" s="4" t="inlineStr">
        <is>
          <t>Check #104</t>
        </is>
      </c>
      <c r="E5" s="5" t="inlineStr">
        <is>
          <t>Setup + breakdown</t>
        </is>
      </c>
    </row>
    <row r="6">
      <c r="A6" s="7" t="n">
        <v>45877</v>
      </c>
      <c r="B6" s="4" t="inlineStr">
        <is>
          <t>Isaiah Melody Ansley</t>
        </is>
      </c>
      <c r="C6" s="6" t="n">
        <v>70</v>
      </c>
      <c r="D6" s="4" t="inlineStr">
        <is>
          <t>Check #105</t>
        </is>
      </c>
      <c r="E6" s="5" t="inlineStr">
        <is>
          <t>Delivery + fuel reimbursement</t>
        </is>
      </c>
    </row>
    <row r="7">
      <c r="A7" s="7" t="n">
        <v>45901</v>
      </c>
      <c r="B7" s="4" t="inlineStr">
        <is>
          <t>Tiffany Acevedo</t>
        </is>
      </c>
      <c r="C7" s="6" t="n">
        <v>100</v>
      </c>
      <c r="D7" s="4" t="inlineStr">
        <is>
          <t>Check #106</t>
        </is>
      </c>
      <c r="E7" s="5" t="inlineStr">
        <is>
          <t>Setup + breakdown</t>
        </is>
      </c>
    </row>
    <row r="8">
      <c r="A8" s="7" t="n">
        <v>45906</v>
      </c>
      <c r="B8" s="4" t="inlineStr">
        <is>
          <t>Isaiah Melody Ansley</t>
        </is>
      </c>
      <c r="C8" s="6" t="n">
        <v>125</v>
      </c>
      <c r="D8" s="4" t="inlineStr">
        <is>
          <t>Check #107</t>
        </is>
      </c>
      <c r="E8" s="5" t="inlineStr">
        <is>
          <t>Setup + breakdown</t>
        </is>
      </c>
    </row>
    <row r="9">
      <c r="A9" s="7" t="n">
        <v>45906</v>
      </c>
      <c r="B9" s="4" t="inlineStr">
        <is>
          <t>Tiffany Acevedo</t>
        </is>
      </c>
      <c r="C9" s="6" t="n">
        <v>125</v>
      </c>
      <c r="D9" s="4" t="inlineStr">
        <is>
          <t>Check #108</t>
        </is>
      </c>
      <c r="E9" s="5" t="inlineStr">
        <is>
          <t>Setup + breakdown</t>
        </is>
      </c>
    </row>
    <row r="10">
      <c r="A10" s="7" t="n">
        <v>45921</v>
      </c>
      <c r="B10" s="4" t="inlineStr">
        <is>
          <t>Tiffany Acevedo</t>
        </is>
      </c>
      <c r="C10" s="6" t="n">
        <v>200</v>
      </c>
      <c r="D10" s="4" t="inlineStr">
        <is>
          <t>Check #109</t>
        </is>
      </c>
      <c r="E10" s="5" t="inlineStr">
        <is>
          <t>Setup + breakdown</t>
        </is>
      </c>
    </row>
    <row r="11">
      <c r="A11" s="7" t="n">
        <v>45956</v>
      </c>
      <c r="B11" s="4" t="inlineStr">
        <is>
          <t>Isaiah Melody Ansley</t>
        </is>
      </c>
      <c r="C11" s="6" t="n">
        <v>1000</v>
      </c>
      <c r="D11" s="4" t="inlineStr">
        <is>
          <t>Check #110</t>
        </is>
      </c>
      <c r="E11" s="5" t="inlineStr">
        <is>
          <t>Equipment construction</t>
        </is>
      </c>
    </row>
    <row r="12">
      <c r="A12" s="7" t="n">
        <v>45973</v>
      </c>
      <c r="B12" s="4" t="inlineStr">
        <is>
          <t>Isaiah Melody Ansley</t>
        </is>
      </c>
      <c r="C12" s="6" t="n">
        <v>62.5</v>
      </c>
      <c r="D12" s="4" t="inlineStr">
        <is>
          <t>Check #113</t>
        </is>
      </c>
      <c r="E12" s="5" t="inlineStr">
        <is>
          <t>Equipment maintenance</t>
        </is>
      </c>
    </row>
    <row r="13">
      <c r="A13" s="7" t="n">
        <v>45973</v>
      </c>
      <c r="B13" s="4" t="inlineStr">
        <is>
          <t>Jeremiah Thomas</t>
        </is>
      </c>
      <c r="C13" s="6" t="n">
        <v>62.5</v>
      </c>
      <c r="D13" s="4" t="inlineStr">
        <is>
          <t>Check #112</t>
        </is>
      </c>
      <c r="E13" s="5" t="inlineStr">
        <is>
          <t>Equipment maintenance</t>
        </is>
      </c>
    </row>
    <row r="14">
      <c r="A14" s="7" t="n">
        <v>45976</v>
      </c>
      <c r="B14" s="4" t="inlineStr">
        <is>
          <t>Jeremiah Thomas</t>
        </is>
      </c>
      <c r="C14" s="6" t="n">
        <v>62.5</v>
      </c>
      <c r="D14" s="4" t="inlineStr">
        <is>
          <t>Check #115</t>
        </is>
      </c>
      <c r="E14" s="5" t="inlineStr">
        <is>
          <t>Equipment maintenance</t>
        </is>
      </c>
    </row>
    <row r="15">
      <c r="A15" s="7" t="n">
        <v>45976</v>
      </c>
      <c r="B15" s="4" t="inlineStr">
        <is>
          <t>Tiffany Acevedo</t>
        </is>
      </c>
      <c r="C15" s="6" t="n">
        <v>210</v>
      </c>
      <c r="D15" s="4" t="inlineStr">
        <is>
          <t>Check #114</t>
        </is>
      </c>
      <c r="E15" s="5" t="inlineStr">
        <is>
          <t>Setup + breakdown</t>
        </is>
      </c>
    </row>
    <row r="16">
      <c r="A16" s="7" t="n">
        <v>45980</v>
      </c>
      <c r="B16" s="4" t="inlineStr">
        <is>
          <t>Isaiah Melody Ansley</t>
        </is>
      </c>
      <c r="C16" s="6" t="n">
        <v>102.5</v>
      </c>
      <c r="D16" s="4" t="inlineStr">
        <is>
          <t>Check #116</t>
        </is>
      </c>
      <c r="E16" s="5" t="inlineStr">
        <is>
          <t>Setup + breakdown</t>
        </is>
      </c>
    </row>
    <row r="17">
      <c r="A17" s="7" t="n">
        <v>45987</v>
      </c>
      <c r="B17" s="4" t="inlineStr">
        <is>
          <t>Jeremiah Thomas</t>
        </is>
      </c>
      <c r="C17" s="6" t="n">
        <v>100</v>
      </c>
      <c r="D17" s="4" t="inlineStr">
        <is>
          <t>Check #117</t>
        </is>
      </c>
      <c r="E17" s="5" t="inlineStr">
        <is>
          <t>Equipment maintenance</t>
        </is>
      </c>
    </row>
    <row r="18">
      <c r="A18" s="7" t="n">
        <v>45993</v>
      </c>
      <c r="B18" s="4" t="inlineStr">
        <is>
          <t>Isaiah Melody Ansley</t>
        </is>
      </c>
      <c r="C18" s="6" t="n">
        <v>116.5</v>
      </c>
      <c r="D18" s="4" t="inlineStr">
        <is>
          <t>Check #120</t>
        </is>
      </c>
      <c r="E18" s="5" t="inlineStr">
        <is>
          <t>Equipment maintenance</t>
        </is>
      </c>
    </row>
    <row r="19">
      <c r="A19" s="7" t="n">
        <v>45993</v>
      </c>
      <c r="B19" s="4" t="inlineStr">
        <is>
          <t>Isaiah Melody Ansley</t>
        </is>
      </c>
      <c r="C19" s="6" t="n">
        <v>187.5</v>
      </c>
      <c r="D19" s="4" t="inlineStr">
        <is>
          <t>Check #121</t>
        </is>
      </c>
      <c r="E19" s="5" t="inlineStr">
        <is>
          <t>Setup + breakdown</t>
        </is>
      </c>
    </row>
    <row r="20">
      <c r="A20" s="7" t="n">
        <v>45993</v>
      </c>
      <c r="B20" s="4" t="inlineStr">
        <is>
          <t>Jeremiah Thomas</t>
        </is>
      </c>
      <c r="C20" s="6" t="n">
        <v>116.5</v>
      </c>
      <c r="D20" s="4" t="inlineStr">
        <is>
          <t>Check #119</t>
        </is>
      </c>
      <c r="E20" s="5" t="inlineStr">
        <is>
          <t>Equipment maintenance</t>
        </is>
      </c>
    </row>
    <row r="21">
      <c r="A21" s="7" t="n">
        <v>46003</v>
      </c>
      <c r="B21" s="4" t="inlineStr">
        <is>
          <t>Isaiah Melody Ansley</t>
        </is>
      </c>
      <c r="C21" s="6" t="n">
        <v>93.31</v>
      </c>
      <c r="D21" s="4" t="inlineStr">
        <is>
          <t>Check #124</t>
        </is>
      </c>
      <c r="E21" s="5" t="inlineStr">
        <is>
          <t>Equipment maintenance</t>
        </is>
      </c>
    </row>
    <row r="22">
      <c r="A22" s="7" t="n">
        <v>46003</v>
      </c>
      <c r="B22" s="4" t="inlineStr">
        <is>
          <t>Jeremiah Thomas</t>
        </is>
      </c>
      <c r="C22" s="6" t="n">
        <v>93.3</v>
      </c>
      <c r="D22" s="4" t="inlineStr">
        <is>
          <t>Check #122</t>
        </is>
      </c>
      <c r="E22" s="5" t="inlineStr">
        <is>
          <t>Equipment maintenance</t>
        </is>
      </c>
    </row>
    <row r="23">
      <c r="A23" s="7" t="n">
        <v>46012</v>
      </c>
      <c r="B23" s="4" t="inlineStr">
        <is>
          <t>Jeremiah Thomas</t>
        </is>
      </c>
      <c r="C23" s="6" t="n">
        <v>210.75</v>
      </c>
      <c r="D23" s="4" t="inlineStr">
        <is>
          <t>Check #123</t>
        </is>
      </c>
      <c r="E23" s="5" t="inlineStr">
        <is>
          <t>Setup + breakdown</t>
        </is>
      </c>
    </row>
    <row r="24">
      <c r="A24" s="7" t="n">
        <v>46012</v>
      </c>
      <c r="B24" s="4" t="inlineStr">
        <is>
          <t>Tiffany Acevedo</t>
        </is>
      </c>
      <c r="C24" s="6" t="n">
        <v>525</v>
      </c>
      <c r="D24" s="4" t="inlineStr">
        <is>
          <t>Check #125</t>
        </is>
      </c>
      <c r="E24" s="5" t="inlineStr">
        <is>
          <t>Setup + breakdown</t>
        </is>
      </c>
    </row>
    <row r="25">
      <c r="A25" s="7" t="n">
        <v>46020</v>
      </c>
      <c r="B25" s="4" t="inlineStr">
        <is>
          <t>Jeremiah Thomas</t>
        </is>
      </c>
      <c r="C25" s="6" t="n">
        <v>44</v>
      </c>
      <c r="D25" s="4" t="inlineStr">
        <is>
          <t>Check #126</t>
        </is>
      </c>
      <c r="E25" s="5" t="inlineStr">
        <is>
          <t>Equipment maintenance</t>
        </is>
      </c>
    </row>
    <row r="26">
      <c r="A26" s="7" t="n">
        <v>46020</v>
      </c>
      <c r="B26" s="4" t="inlineStr">
        <is>
          <t>Julian Budde</t>
        </is>
      </c>
      <c r="C26" s="6" t="n">
        <v>44</v>
      </c>
      <c r="D26" s="4" t="inlineStr">
        <is>
          <t>Check #127</t>
        </is>
      </c>
      <c r="E26" s="5" t="inlineStr">
        <is>
          <t>Equipment maintenance</t>
        </is>
      </c>
    </row>
    <row r="27">
      <c r="A27" s="11" t="n"/>
      <c r="B27" s="12" t="inlineStr">
        <is>
          <t>TOTAL</t>
        </is>
      </c>
      <c r="C27" s="13">
        <f>SUM(C3:C26)</f>
        <v/>
      </c>
      <c r="D27" s="11" t="n"/>
      <c r="E27" s="11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2026-08-19T03:30:46Z</dcterms:created>
  <dcterms:modified xsi:type="dcterms:W3CDTF">2026-08-19T03:30:46Z</dcterms:modified>
</cp:coreProperties>
</file>